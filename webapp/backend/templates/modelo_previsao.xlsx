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EstaPasta_de_trabalho"/>
  <bookViews>
    <workbookView xWindow="-15" yWindow="105" windowWidth="7680" windowHeight="7500" activeTab="2"/>
  </bookViews>
  <sheets>
    <sheet name=" C O N T A S " sheetId="1" r:id="rId1"/>
    <sheet name=" P R E V I S Ã O " sheetId="2" r:id="rId2"/>
    <sheet name=" P R E V I S Ã O  (2)" sheetId="5" r:id="rId3"/>
    <sheet name="Cadastro" sheetId="6" r:id="rId4"/>
    <sheet name=" G R Á F I C O" sheetId="4" r:id="rId5"/>
    <sheet name="Comp. Desp-Rec" sheetId="10" r:id="rId6"/>
    <sheet name="Gráfico1" sheetId="7" r:id="rId7"/>
  </sheets>
  <externalReferences>
    <externalReference r:id="rId8"/>
  </externalReferences>
  <definedNames>
    <definedName name="_xlnm.Print_Area" localSheetId="2">' P R E V I S Ã O  (2)'!$A$1:$E$88</definedName>
    <definedName name="_xlnm.Print_Area" localSheetId="5">'Comp. Desp-Rec'!$A$1:$F$57</definedName>
  </definedNames>
  <calcPr calcId="124519"/>
</workbook>
</file>

<file path=xl/calcChain.xml><?xml version="1.0" encoding="utf-8"?>
<calcChain xmlns="http://schemas.openxmlformats.org/spreadsheetml/2006/main">
  <c r="D256" i="1"/>
  <c r="I256" s="1"/>
  <c r="D45" i="2" s="1"/>
  <c r="E3" i="1"/>
  <c r="D214"/>
  <c r="I214" s="1"/>
  <c r="D213"/>
  <c r="I213" s="1"/>
  <c r="D177"/>
  <c r="I177" s="1"/>
  <c r="D144"/>
  <c r="I144" s="1"/>
  <c r="D136"/>
  <c r="D135"/>
  <c r="D89"/>
  <c r="I89" s="1"/>
  <c r="D90"/>
  <c r="I90" s="1"/>
  <c r="D92"/>
  <c r="I92" s="1"/>
  <c r="D232"/>
  <c r="D230" s="1"/>
  <c r="D228"/>
  <c r="D226" s="1"/>
  <c r="D148"/>
  <c r="D267"/>
  <c r="D265" s="1"/>
  <c r="D263"/>
  <c r="I263" s="1"/>
  <c r="D262"/>
  <c r="I262" s="1"/>
  <c r="D261"/>
  <c r="I261" s="1"/>
  <c r="D257"/>
  <c r="I257" s="1"/>
  <c r="D252"/>
  <c r="D250" s="1"/>
  <c r="D248"/>
  <c r="I248" s="1"/>
  <c r="D247"/>
  <c r="I247" s="1"/>
  <c r="D246"/>
  <c r="I246" s="1"/>
  <c r="D245"/>
  <c r="D241"/>
  <c r="I241" s="1"/>
  <c r="D240"/>
  <c r="I240" s="1"/>
  <c r="D239"/>
  <c r="I239" s="1"/>
  <c r="D238"/>
  <c r="I238" s="1"/>
  <c r="D237"/>
  <c r="I237" s="1"/>
  <c r="D236"/>
  <c r="D224"/>
  <c r="I224" s="1"/>
  <c r="D223"/>
  <c r="D222"/>
  <c r="D218"/>
  <c r="I218" s="1"/>
  <c r="I216" s="1"/>
  <c r="D212"/>
  <c r="I212" s="1"/>
  <c r="D211"/>
  <c r="I211" s="1"/>
  <c r="D210"/>
  <c r="I210" s="1"/>
  <c r="D209"/>
  <c r="I209" s="1"/>
  <c r="D208"/>
  <c r="D207"/>
  <c r="D203"/>
  <c r="I203" s="1"/>
  <c r="D42" i="2" s="1"/>
  <c r="E42" s="1"/>
  <c r="D202" i="1"/>
  <c r="I202" s="1"/>
  <c r="D41" i="2" s="1"/>
  <c r="E41" s="1"/>
  <c r="I201" i="1"/>
  <c r="D40" i="2" s="1"/>
  <c r="I200" i="1"/>
  <c r="D39" i="2" s="1"/>
  <c r="E39" s="1"/>
  <c r="D199" i="1"/>
  <c r="I199" s="1"/>
  <c r="D38" i="2" s="1"/>
  <c r="B38" s="1"/>
  <c r="D198" i="1"/>
  <c r="I198" s="1"/>
  <c r="D37" i="2" s="1"/>
  <c r="D197" i="1"/>
  <c r="I197" s="1"/>
  <c r="D36" i="2" s="1"/>
  <c r="B36" s="1"/>
  <c r="D196" i="1"/>
  <c r="D195"/>
  <c r="I195" s="1"/>
  <c r="D34" i="2" s="1"/>
  <c r="E34" s="1"/>
  <c r="D194" i="1"/>
  <c r="I194" s="1"/>
  <c r="D33" i="2" s="1"/>
  <c r="E33" s="1"/>
  <c r="D189" i="1"/>
  <c r="I189" s="1"/>
  <c r="D188"/>
  <c r="I188" s="1"/>
  <c r="D187"/>
  <c r="I187" s="1"/>
  <c r="D186"/>
  <c r="I186" s="1"/>
  <c r="D185"/>
  <c r="I185" s="1"/>
  <c r="D184"/>
  <c r="I184" s="1"/>
  <c r="D183"/>
  <c r="I183" s="1"/>
  <c r="D182"/>
  <c r="D178"/>
  <c r="D176"/>
  <c r="I176" s="1"/>
  <c r="D175"/>
  <c r="I175" s="1"/>
  <c r="D174"/>
  <c r="D173"/>
  <c r="I173" s="1"/>
  <c r="D172"/>
  <c r="I172" s="1"/>
  <c r="D171"/>
  <c r="I171" s="1"/>
  <c r="D170"/>
  <c r="I170" s="1"/>
  <c r="D169"/>
  <c r="I169" s="1"/>
  <c r="D168"/>
  <c r="I168" s="1"/>
  <c r="D167"/>
  <c r="I167" s="1"/>
  <c r="D166"/>
  <c r="I166" s="1"/>
  <c r="D165"/>
  <c r="D164"/>
  <c r="I164" s="1"/>
  <c r="D163"/>
  <c r="I163" s="1"/>
  <c r="D162"/>
  <c r="I162" s="1"/>
  <c r="D161"/>
  <c r="I161" s="1"/>
  <c r="D160"/>
  <c r="I160" s="1"/>
  <c r="D159"/>
  <c r="I159" s="1"/>
  <c r="D158"/>
  <c r="I158" s="1"/>
  <c r="D157"/>
  <c r="I157" s="1"/>
  <c r="D156"/>
  <c r="I156" s="1"/>
  <c r="D30" i="2" s="1"/>
  <c r="D155" i="1"/>
  <c r="I155" s="1"/>
  <c r="D154"/>
  <c r="I154" s="1"/>
  <c r="D153"/>
  <c r="I153" s="1"/>
  <c r="D152"/>
  <c r="I152" s="1"/>
  <c r="D151"/>
  <c r="I151" s="1"/>
  <c r="D150"/>
  <c r="I150" s="1"/>
  <c r="D149"/>
  <c r="I149" s="1"/>
  <c r="D143"/>
  <c r="I143" s="1"/>
  <c r="D142"/>
  <c r="D141"/>
  <c r="I141" s="1"/>
  <c r="D140"/>
  <c r="D134"/>
  <c r="D133"/>
  <c r="D132"/>
  <c r="I132" s="1"/>
  <c r="D131"/>
  <c r="I131" s="1"/>
  <c r="D130"/>
  <c r="I130" s="1"/>
  <c r="D129"/>
  <c r="I129" s="1"/>
  <c r="D128"/>
  <c r="I128" s="1"/>
  <c r="D127"/>
  <c r="I127" s="1"/>
  <c r="I126"/>
  <c r="D125"/>
  <c r="I125" s="1"/>
  <c r="D124"/>
  <c r="I124" s="1"/>
  <c r="D123"/>
  <c r="I123" s="1"/>
  <c r="D122"/>
  <c r="I122" s="1"/>
  <c r="D121"/>
  <c r="I121" s="1"/>
  <c r="D120"/>
  <c r="I120" s="1"/>
  <c r="D119"/>
  <c r="I119" s="1"/>
  <c r="D27" i="2" s="1"/>
  <c r="D118" i="1"/>
  <c r="I118" s="1"/>
  <c r="D117"/>
  <c r="I117" s="1"/>
  <c r="D116"/>
  <c r="I116" s="1"/>
  <c r="D115"/>
  <c r="I115" s="1"/>
  <c r="D114"/>
  <c r="I114" s="1"/>
  <c r="D113"/>
  <c r="I113" s="1"/>
  <c r="D112"/>
  <c r="I112" s="1"/>
  <c r="D111"/>
  <c r="D110"/>
  <c r="I110" s="1"/>
  <c r="D106"/>
  <c r="I106" s="1"/>
  <c r="D105"/>
  <c r="I105" s="1"/>
  <c r="D104"/>
  <c r="I104" s="1"/>
  <c r="D26" i="2" s="1"/>
  <c r="D103" i="1"/>
  <c r="I103" s="1"/>
  <c r="D102"/>
  <c r="I102" s="1"/>
  <c r="D101"/>
  <c r="I101" s="1"/>
  <c r="D100"/>
  <c r="I100" s="1"/>
  <c r="D25" i="2" s="1"/>
  <c r="D99" i="1"/>
  <c r="I99" s="1"/>
  <c r="D24" i="2" s="1"/>
  <c r="D98" i="1"/>
  <c r="I98" s="1"/>
  <c r="D93"/>
  <c r="I93" s="1"/>
  <c r="D91"/>
  <c r="I91" s="1"/>
  <c r="D88"/>
  <c r="I88" s="1"/>
  <c r="D87"/>
  <c r="I87" s="1"/>
  <c r="D86"/>
  <c r="I86" s="1"/>
  <c r="D85"/>
  <c r="I85" s="1"/>
  <c r="D84"/>
  <c r="I84" s="1"/>
  <c r="D83"/>
  <c r="I83" s="1"/>
  <c r="D82"/>
  <c r="I82" s="1"/>
  <c r="D81"/>
  <c r="I81" s="1"/>
  <c r="D80"/>
  <c r="I80" s="1"/>
  <c r="D79"/>
  <c r="I79" s="1"/>
  <c r="D78"/>
  <c r="I78" s="1"/>
  <c r="D77"/>
  <c r="I77" s="1"/>
  <c r="D76"/>
  <c r="I76" s="1"/>
  <c r="D75"/>
  <c r="I75" s="1"/>
  <c r="D74"/>
  <c r="I74" s="1"/>
  <c r="D73"/>
  <c r="I73" s="1"/>
  <c r="D72"/>
  <c r="I72" s="1"/>
  <c r="D71"/>
  <c r="I71" s="1"/>
  <c r="D70"/>
  <c r="I70" s="1"/>
  <c r="D69"/>
  <c r="I69" s="1"/>
  <c r="D68"/>
  <c r="I68" s="1"/>
  <c r="D67"/>
  <c r="I67" s="1"/>
  <c r="D66"/>
  <c r="I66" s="1"/>
  <c r="A11" i="2"/>
  <c r="B47"/>
  <c r="B46"/>
  <c r="D15"/>
  <c r="E15" s="1"/>
  <c r="D13"/>
  <c r="E13" s="1"/>
  <c r="D12"/>
  <c r="E12" s="1"/>
  <c r="I174" i="1"/>
  <c r="A6" i="5"/>
  <c r="D17" i="2"/>
  <c r="E17" s="1"/>
  <c r="D16"/>
  <c r="E16" s="1"/>
  <c r="D14"/>
  <c r="E14" s="1"/>
  <c r="D11"/>
  <c r="E11" s="1"/>
  <c r="D10"/>
  <c r="E10" s="1"/>
  <c r="I165" i="1"/>
  <c r="A56" i="5"/>
  <c r="E47" i="2"/>
  <c r="E46"/>
  <c r="D12" i="1"/>
  <c r="E49" i="2"/>
  <c r="C49" s="1"/>
  <c r="C22" i="5"/>
  <c r="A23" i="2"/>
  <c r="C48" i="5"/>
  <c r="A8" i="10"/>
  <c r="I64" i="1" l="1"/>
  <c r="I96"/>
  <c r="I259"/>
  <c r="I254"/>
  <c r="I245"/>
  <c r="I243" s="1"/>
  <c r="I178"/>
  <c r="I232"/>
  <c r="I230" s="1"/>
  <c r="D234"/>
  <c r="D191"/>
  <c r="D146"/>
  <c r="I196"/>
  <c r="D35" i="2" s="1"/>
  <c r="E35" s="1"/>
  <c r="D180" i="1"/>
  <c r="D138"/>
  <c r="D205"/>
  <c r="D64"/>
  <c r="B41" i="2"/>
  <c r="D259" i="1"/>
  <c r="D96"/>
  <c r="B34" i="2"/>
  <c r="D108" i="1"/>
  <c r="I267"/>
  <c r="I265" s="1"/>
  <c r="B11" i="2"/>
  <c r="I134" i="1"/>
  <c r="I228"/>
  <c r="I226" s="1"/>
  <c r="D220"/>
  <c r="D11" i="5"/>
  <c r="I223" i="1"/>
  <c r="I222"/>
  <c r="D254"/>
  <c r="I142"/>
  <c r="D216"/>
  <c r="E37" i="2"/>
  <c r="D243" i="1"/>
  <c r="I252"/>
  <c r="I250" s="1"/>
  <c r="D13" i="10"/>
  <c r="D19" i="2"/>
  <c r="E38"/>
  <c r="E40"/>
  <c r="E25"/>
  <c r="E26"/>
  <c r="E27"/>
  <c r="D23"/>
  <c r="B23" s="1"/>
  <c r="E30"/>
  <c r="E36"/>
  <c r="E24"/>
  <c r="I111" i="1"/>
  <c r="I182"/>
  <c r="I180" s="1"/>
  <c r="I193"/>
  <c r="I236"/>
  <c r="I234" s="1"/>
  <c r="I140"/>
  <c r="I138" s="1"/>
  <c r="I220" l="1"/>
  <c r="D4" s="1"/>
  <c r="E207"/>
  <c r="I207" s="1"/>
  <c r="E136"/>
  <c r="I136" s="1"/>
  <c r="E135"/>
  <c r="I135" s="1"/>
  <c r="E148"/>
  <c r="I191"/>
  <c r="D29" i="2"/>
  <c r="E29" s="1"/>
  <c r="A12"/>
  <c r="B12" s="1"/>
  <c r="A13" s="1"/>
  <c r="B13" s="1"/>
  <c r="I208" i="1"/>
  <c r="D44" i="2"/>
  <c r="E44" s="1"/>
  <c r="E23"/>
  <c r="D32"/>
  <c r="D22"/>
  <c r="E45"/>
  <c r="I205" i="1" l="1"/>
  <c r="D43" i="2" s="1"/>
  <c r="I148" i="1"/>
  <c r="A14" i="2"/>
  <c r="B14" s="1"/>
  <c r="I133" i="1"/>
  <c r="I108" s="1"/>
  <c r="D28" i="2" s="1"/>
  <c r="A24"/>
  <c r="B24" s="1"/>
  <c r="E22"/>
  <c r="F22"/>
  <c r="E32"/>
  <c r="C23" i="5"/>
  <c r="D23"/>
  <c r="C20" i="10"/>
  <c r="D20"/>
  <c r="I146" i="1" l="1"/>
  <c r="D3" s="1"/>
  <c r="E43" i="2"/>
  <c r="A15"/>
  <c r="B15" s="1"/>
  <c r="A25"/>
  <c r="B25" s="1"/>
  <c r="A26" s="1"/>
  <c r="B26" s="1"/>
  <c r="D19" i="10"/>
  <c r="D22" i="5"/>
  <c r="C24"/>
  <c r="D21" i="10"/>
  <c r="D24" i="5"/>
  <c r="C21" i="10"/>
  <c r="D31" i="2" l="1"/>
  <c r="E31" s="1"/>
  <c r="F3" i="1"/>
  <c r="D5"/>
  <c r="A16" i="2"/>
  <c r="B16" s="1"/>
  <c r="A27"/>
  <c r="B27" s="1"/>
  <c r="E28"/>
  <c r="D48" l="1"/>
  <c r="D55" s="1"/>
  <c r="A17"/>
  <c r="B17" s="1"/>
  <c r="A28"/>
  <c r="B28" s="1"/>
  <c r="A29" s="1"/>
  <c r="B29" s="1"/>
  <c r="F48" l="1"/>
  <c r="D49"/>
  <c r="D51" s="1"/>
  <c r="D53" s="1"/>
  <c r="E53" s="1"/>
  <c r="D7" i="1"/>
  <c r="D13" i="5"/>
  <c r="D12"/>
  <c r="C14" i="10"/>
  <c r="C12" i="5"/>
  <c r="C13"/>
  <c r="D15"/>
  <c r="D14" i="10"/>
  <c r="D16" s="1"/>
  <c r="C15" i="5"/>
  <c r="D17"/>
  <c r="C14"/>
  <c r="D14"/>
  <c r="D16"/>
  <c r="C16"/>
  <c r="C18"/>
  <c r="C17"/>
  <c r="D18"/>
  <c r="A30" i="2"/>
  <c r="B30" s="1"/>
  <c r="D25" i="5"/>
  <c r="C25"/>
  <c r="C22" i="10"/>
  <c r="D22"/>
  <c r="D23"/>
  <c r="C53" i="2" l="1"/>
  <c r="E51"/>
  <c r="E22" i="10"/>
  <c r="E23"/>
  <c r="E20"/>
  <c r="E19"/>
  <c r="E21"/>
  <c r="D19" i="5"/>
  <c r="A31" i="2"/>
  <c r="B31" s="1"/>
  <c r="A32" s="1"/>
  <c r="C26" i="5"/>
  <c r="C23" i="10"/>
  <c r="D26" i="5"/>
  <c r="C27"/>
  <c r="C24" i="10"/>
  <c r="B32" i="2" l="1"/>
  <c r="C29" i="5" s="1"/>
  <c r="D27"/>
  <c r="D24" i="10"/>
  <c r="E24" s="1"/>
  <c r="D29" i="5" l="1"/>
  <c r="A33" i="2"/>
  <c r="B33" s="1"/>
  <c r="C25" i="10"/>
  <c r="C28" i="5"/>
  <c r="D25" i="10"/>
  <c r="E25" s="1"/>
  <c r="D28" i="5"/>
  <c r="A34" i="2" l="1"/>
  <c r="A35"/>
  <c r="B35" s="1"/>
  <c r="C26" i="10"/>
  <c r="A36" i="2" l="1"/>
  <c r="A37"/>
  <c r="B37" s="1"/>
  <c r="D26" i="10"/>
  <c r="E26" s="1"/>
  <c r="A39" i="2" l="1"/>
  <c r="B39" s="1"/>
  <c r="A38"/>
  <c r="A40" l="1"/>
  <c r="B40" s="1"/>
  <c r="D30" i="5" s="1"/>
  <c r="B43" i="2"/>
  <c r="D27" i="10" l="1"/>
  <c r="E27" s="1"/>
  <c r="C30" i="5"/>
  <c r="C27" i="10"/>
  <c r="A42" i="2"/>
  <c r="B42" s="1"/>
  <c r="A41"/>
  <c r="A43" l="1"/>
  <c r="A44"/>
  <c r="B44" s="1"/>
  <c r="C28" i="10" l="1"/>
  <c r="D28"/>
  <c r="E28" s="1"/>
  <c r="D31" i="5"/>
  <c r="C31"/>
  <c r="A45" i="2"/>
  <c r="B45" s="1"/>
  <c r="C44" i="5" s="1"/>
  <c r="D32" l="1"/>
  <c r="D29" i="10"/>
  <c r="E29" s="1"/>
  <c r="C32" i="5"/>
  <c r="C29" i="10"/>
  <c r="C30"/>
  <c r="D33" i="5"/>
  <c r="D30" i="10"/>
  <c r="C33" i="5"/>
  <c r="C46"/>
  <c r="C41"/>
  <c r="D36"/>
  <c r="D45"/>
  <c r="C36"/>
  <c r="C39"/>
  <c r="D42"/>
  <c r="D37"/>
  <c r="D46"/>
  <c r="A47" i="2"/>
  <c r="D39" i="5"/>
  <c r="E32" i="10"/>
  <c r="D38" i="5"/>
  <c r="C35"/>
  <c r="D35"/>
  <c r="A46" i="2"/>
  <c r="D43" i="5"/>
  <c r="C34"/>
  <c r="C37"/>
  <c r="C38"/>
  <c r="C40"/>
  <c r="C45"/>
  <c r="D40"/>
  <c r="D34"/>
  <c r="D44"/>
  <c r="C42"/>
  <c r="D41"/>
  <c r="C43"/>
  <c r="E30" i="10" l="1"/>
  <c r="D31"/>
  <c r="D32" s="1"/>
  <c r="D34" s="1"/>
  <c r="D36" s="1"/>
  <c r="C36" s="1"/>
  <c r="C32"/>
  <c r="D47" i="5"/>
  <c r="D48" s="1"/>
  <c r="D50" s="1"/>
  <c r="D52" l="1"/>
  <c r="C52" s="1"/>
  <c r="H48"/>
  <c r="G48"/>
</calcChain>
</file>

<file path=xl/comments1.xml><?xml version="1.0" encoding="utf-8"?>
<comments xmlns="http://schemas.openxmlformats.org/spreadsheetml/2006/main">
  <authors>
    <author>José Henrique</author>
  </authors>
  <commentList>
    <comment ref="F136" authorId="0">
      <text>
        <r>
          <rPr>
            <b/>
            <sz val="9"/>
            <color indexed="81"/>
            <rFont val="Tahoma"/>
            <charset val="1"/>
          </rPr>
          <t>José Henrique:</t>
        </r>
        <r>
          <rPr>
            <sz val="9"/>
            <color indexed="81"/>
            <rFont val="Tahoma"/>
            <charset val="1"/>
          </rPr>
          <t xml:space="preserve">
Reparo no elevador</t>
        </r>
      </text>
    </comment>
    <comment ref="G136" authorId="0">
      <text>
        <r>
          <rPr>
            <b/>
            <sz val="9"/>
            <color indexed="81"/>
            <rFont val="Tahoma"/>
            <charset val="1"/>
          </rPr>
          <t>José Henrique:</t>
        </r>
        <r>
          <rPr>
            <sz val="9"/>
            <color indexed="81"/>
            <rFont val="Tahoma"/>
            <charset val="1"/>
          </rPr>
          <t xml:space="preserve">
Outras despesas</t>
        </r>
      </text>
    </comment>
  </commentList>
</comments>
</file>

<file path=xl/sharedStrings.xml><?xml version="1.0" encoding="utf-8"?>
<sst xmlns="http://schemas.openxmlformats.org/spreadsheetml/2006/main" count="660" uniqueCount="609">
  <si>
    <t>-</t>
  </si>
  <si>
    <t>Plano Basico</t>
  </si>
  <si>
    <t>01</t>
  </si>
  <si>
    <t>01.01</t>
  </si>
  <si>
    <t>Receitas Gerais</t>
  </si>
  <si>
    <t>01.02</t>
  </si>
  <si>
    <t>Tx. Condomínio</t>
  </si>
  <si>
    <t>01.03</t>
  </si>
  <si>
    <t>01.04</t>
  </si>
  <si>
    <t>Fundo de Obras</t>
  </si>
  <si>
    <t>01.05</t>
  </si>
  <si>
    <t>Taxa de Administração</t>
  </si>
  <si>
    <t>01.06</t>
  </si>
  <si>
    <t>Taxa Extra</t>
  </si>
  <si>
    <t>01.07</t>
  </si>
  <si>
    <t>Gás</t>
  </si>
  <si>
    <t>01.08</t>
  </si>
  <si>
    <t>Compl.Tx.Condomínio</t>
  </si>
  <si>
    <t>01.09</t>
  </si>
  <si>
    <t>Luz</t>
  </si>
  <si>
    <t>01.10</t>
  </si>
  <si>
    <t>Telefone</t>
  </si>
  <si>
    <t>01.11</t>
  </si>
  <si>
    <t>Tv a Cabo</t>
  </si>
  <si>
    <t>01.12</t>
  </si>
  <si>
    <t>Crédito</t>
  </si>
  <si>
    <t>01.13</t>
  </si>
  <si>
    <t>Taxa Extra.</t>
  </si>
  <si>
    <t>01.14</t>
  </si>
  <si>
    <t>Tx. Extra Reforma do Prédio</t>
  </si>
  <si>
    <t>01.15</t>
  </si>
  <si>
    <t>Parc.Acordo/Processo N. 25427</t>
  </si>
  <si>
    <t>01.16</t>
  </si>
  <si>
    <t>Transferência da Aplicação</t>
  </si>
  <si>
    <t>01.17</t>
  </si>
  <si>
    <t>Transferência Poupança</t>
  </si>
  <si>
    <t>01.18</t>
  </si>
  <si>
    <t>Consumo de água das lojas</t>
  </si>
  <si>
    <t>01.19</t>
  </si>
  <si>
    <t>Tx. Complementar</t>
  </si>
  <si>
    <t>01.20</t>
  </si>
  <si>
    <t>Depósito</t>
  </si>
  <si>
    <t>01.21</t>
  </si>
  <si>
    <t>Tx. Condomínio-Ref.:mar</t>
  </si>
  <si>
    <t>02</t>
  </si>
  <si>
    <t>Despesas com Pessoal</t>
  </si>
  <si>
    <t>02.01</t>
  </si>
  <si>
    <t>Salário Empregado(s)</t>
  </si>
  <si>
    <t>02.02</t>
  </si>
  <si>
    <t>02.03</t>
  </si>
  <si>
    <t>Pis</t>
  </si>
  <si>
    <t>02.04</t>
  </si>
  <si>
    <t>INSS S/13. Salário</t>
  </si>
  <si>
    <t>02.05</t>
  </si>
  <si>
    <t>Vale Transporte</t>
  </si>
  <si>
    <t>02.06</t>
  </si>
  <si>
    <t>02.07</t>
  </si>
  <si>
    <t>Contrato Médico de Saúde</t>
  </si>
  <si>
    <t>02.08</t>
  </si>
  <si>
    <t>13º Salário Empregado(s)</t>
  </si>
  <si>
    <t>02.09</t>
  </si>
  <si>
    <t>FGTS</t>
  </si>
  <si>
    <t>02.10</t>
  </si>
  <si>
    <t>Férias Empregado(s)</t>
  </si>
  <si>
    <t>02.11</t>
  </si>
  <si>
    <t>Cesta Básica</t>
  </si>
  <si>
    <t>02.12</t>
  </si>
  <si>
    <t>Rescisão Trabalhista</t>
  </si>
  <si>
    <t>02.13</t>
  </si>
  <si>
    <t>Indenização Trabalhista</t>
  </si>
  <si>
    <t>02.14</t>
  </si>
  <si>
    <t>Treinamento</t>
  </si>
  <si>
    <t>03</t>
  </si>
  <si>
    <t>Tarifas Públicas</t>
  </si>
  <si>
    <t>03.01</t>
  </si>
  <si>
    <t>Luz do Condomínio</t>
  </si>
  <si>
    <t>03.02</t>
  </si>
  <si>
    <t>Água do Condomínio</t>
  </si>
  <si>
    <t>03.03</t>
  </si>
  <si>
    <t>Telefone do Condomínio</t>
  </si>
  <si>
    <t>03.04</t>
  </si>
  <si>
    <t>Luz Apartamento(s)</t>
  </si>
  <si>
    <t>03.05</t>
  </si>
  <si>
    <t>Telefone Apartamento(s)</t>
  </si>
  <si>
    <t>03.06</t>
  </si>
  <si>
    <t>Luz do Zelador</t>
  </si>
  <si>
    <t>04</t>
  </si>
  <si>
    <t>Conservação</t>
  </si>
  <si>
    <t>04.01</t>
  </si>
  <si>
    <t>Manutenção Elétrica</t>
  </si>
  <si>
    <t>04.02</t>
  </si>
  <si>
    <t>Manutenção Hidráulica</t>
  </si>
  <si>
    <t>04.03</t>
  </si>
  <si>
    <t>Pequenas Reformas e Reparos</t>
  </si>
  <si>
    <t>04.04</t>
  </si>
  <si>
    <t>Manutenção de Máquinas</t>
  </si>
  <si>
    <t>04.05</t>
  </si>
  <si>
    <t>Manutenção de Jardim</t>
  </si>
  <si>
    <t>04.06</t>
  </si>
  <si>
    <t>Outros Materiais</t>
  </si>
  <si>
    <t>04.07</t>
  </si>
  <si>
    <t>Serviço de Faxina</t>
  </si>
  <si>
    <t>04.08</t>
  </si>
  <si>
    <t>Dedetização/Descupinização</t>
  </si>
  <si>
    <t>04.09</t>
  </si>
  <si>
    <t>Uniformes</t>
  </si>
  <si>
    <t>04.10</t>
  </si>
  <si>
    <t>Material de Limpeza</t>
  </si>
  <si>
    <t>04.11</t>
  </si>
  <si>
    <t>Manutenção Interfone</t>
  </si>
  <si>
    <t>04.12</t>
  </si>
  <si>
    <t>Manutenção Portão</t>
  </si>
  <si>
    <t>04.13</t>
  </si>
  <si>
    <t>Manutenção Piscina/E.T.A.</t>
  </si>
  <si>
    <t>04.14</t>
  </si>
  <si>
    <t>Manutenção Antena</t>
  </si>
  <si>
    <t>04.15</t>
  </si>
  <si>
    <t>Manutenção Pintura</t>
  </si>
  <si>
    <t>04.16</t>
  </si>
  <si>
    <t>Manutenção de Porta</t>
  </si>
  <si>
    <t>04.17</t>
  </si>
  <si>
    <t>04.18</t>
  </si>
  <si>
    <t>Manutenção de Sauna</t>
  </si>
  <si>
    <t>04.19</t>
  </si>
  <si>
    <t>Limpeza de Fossa e/ou Caixa de Gordura</t>
  </si>
  <si>
    <t>04.20</t>
  </si>
  <si>
    <t>04.21</t>
  </si>
  <si>
    <t>Manutenção E.T.A.</t>
  </si>
  <si>
    <t>04.22</t>
  </si>
  <si>
    <t>04.23</t>
  </si>
  <si>
    <t>Confecção/Manut. Poço Semi-Artesiano</t>
  </si>
  <si>
    <t>04.24</t>
  </si>
  <si>
    <t>Desratização</t>
  </si>
  <si>
    <t>05</t>
  </si>
  <si>
    <t>Tarifas Bancárias</t>
  </si>
  <si>
    <t>05.01</t>
  </si>
  <si>
    <t>CPMF</t>
  </si>
  <si>
    <t>05.02</t>
  </si>
  <si>
    <t>IOF</t>
  </si>
  <si>
    <t>05.03</t>
  </si>
  <si>
    <t>Juros</t>
  </si>
  <si>
    <t>05.04</t>
  </si>
  <si>
    <t>06</t>
  </si>
  <si>
    <t>Despesas Diversas</t>
  </si>
  <si>
    <t>06.01</t>
  </si>
  <si>
    <t>Xerox</t>
  </si>
  <si>
    <t>06.02</t>
  </si>
  <si>
    <t>Correio</t>
  </si>
  <si>
    <t>06.03</t>
  </si>
  <si>
    <t>06.04</t>
  </si>
  <si>
    <t>Despesas com telefone</t>
  </si>
  <si>
    <t>06.05</t>
  </si>
  <si>
    <t>Manutenção de gás</t>
  </si>
  <si>
    <t>06.06</t>
  </si>
  <si>
    <t>Compra de Aquecedores</t>
  </si>
  <si>
    <t>06.07</t>
  </si>
  <si>
    <t>Inst. Sistema Gás p/Aquecimento</t>
  </si>
  <si>
    <t>06.08</t>
  </si>
  <si>
    <t>Reparo no Elevador</t>
  </si>
  <si>
    <t>06.09</t>
  </si>
  <si>
    <t>Seguro Incêndio</t>
  </si>
  <si>
    <t>06.10</t>
  </si>
  <si>
    <t>Material de Expediente</t>
  </si>
  <si>
    <t>06.11</t>
  </si>
  <si>
    <t>Saldo Anterior</t>
  </si>
  <si>
    <t>06.12</t>
  </si>
  <si>
    <t>Aplicação Financeira</t>
  </si>
  <si>
    <t>06.13</t>
  </si>
  <si>
    <t>Confecção Portão e/ou Porta</t>
  </si>
  <si>
    <t>06.14</t>
  </si>
  <si>
    <t>Material Esportivo</t>
  </si>
  <si>
    <t>06.15</t>
  </si>
  <si>
    <t>06.16</t>
  </si>
  <si>
    <t>06.17</t>
  </si>
  <si>
    <t>Estorno</t>
  </si>
  <si>
    <t>06.18</t>
  </si>
  <si>
    <t>06.19</t>
  </si>
  <si>
    <t>Transf.Bancaria</t>
  </si>
  <si>
    <t>06.20</t>
  </si>
  <si>
    <t>13º Taxa de Administração</t>
  </si>
  <si>
    <t>06.21</t>
  </si>
  <si>
    <t>06.22</t>
  </si>
  <si>
    <t>Compra de eletrodomésticos</t>
  </si>
  <si>
    <t>06.99</t>
  </si>
  <si>
    <t>Outras Despesas</t>
  </si>
  <si>
    <t>07</t>
  </si>
  <si>
    <t>Outras Receitas</t>
  </si>
  <si>
    <t>07.01</t>
  </si>
  <si>
    <t>Rendimento</t>
  </si>
  <si>
    <t>07.02</t>
  </si>
  <si>
    <t>Bonus</t>
  </si>
  <si>
    <t>07.03</t>
  </si>
  <si>
    <t>Reembolso</t>
  </si>
  <si>
    <t>07.04</t>
  </si>
  <si>
    <t>07.05</t>
  </si>
  <si>
    <t>Acordo Judicial</t>
  </si>
  <si>
    <t>07.06</t>
  </si>
  <si>
    <t>Débitos Anteriores</t>
  </si>
  <si>
    <t>07.07</t>
  </si>
  <si>
    <t>Honorários Advocatícios</t>
  </si>
  <si>
    <t>08</t>
  </si>
  <si>
    <t>Contratos</t>
  </si>
  <si>
    <t>08.01</t>
  </si>
  <si>
    <t>Contrato de Manutenção do Elevador</t>
  </si>
  <si>
    <t>08.02</t>
  </si>
  <si>
    <t>Contrato de Manutenção do Jardim</t>
  </si>
  <si>
    <t>08.03</t>
  </si>
  <si>
    <t>Contrato TV a Cabo</t>
  </si>
  <si>
    <t>08.04</t>
  </si>
  <si>
    <t>Contrato de Manutenção da E.T.A.</t>
  </si>
  <si>
    <t>08.05</t>
  </si>
  <si>
    <t>Contrato de Manut. Hidráulica/Elétrica</t>
  </si>
  <si>
    <t>09</t>
  </si>
  <si>
    <t>Despesas Cartoriais e Honorários</t>
  </si>
  <si>
    <t>09.01</t>
  </si>
  <si>
    <t>09.02</t>
  </si>
  <si>
    <t>Honorários Advocaticios</t>
  </si>
  <si>
    <t>09.03</t>
  </si>
  <si>
    <t>Custas Judiciais</t>
  </si>
  <si>
    <t>09.04</t>
  </si>
  <si>
    <t>Registro Habite-se</t>
  </si>
  <si>
    <t>09.05</t>
  </si>
  <si>
    <t>Despesas Cartório</t>
  </si>
  <si>
    <t xml:space="preserve"> </t>
  </si>
  <si>
    <t>RECEITAS</t>
  </si>
  <si>
    <t>VALOR MÉDIO MENSAL</t>
  </si>
  <si>
    <t>TOTAL</t>
  </si>
  <si>
    <t>DESPESAS</t>
  </si>
  <si>
    <t>SUBTOTAL</t>
  </si>
  <si>
    <t>CONSIDERAÇÕES IMPORTANTES</t>
  </si>
  <si>
    <t>PORTO REAL IMÓVEIS</t>
  </si>
  <si>
    <t>Cabo Frio,</t>
  </si>
  <si>
    <t>VALOR ANUAL</t>
  </si>
  <si>
    <t>Valor Transportado</t>
  </si>
  <si>
    <t>Confronto Inicial</t>
  </si>
  <si>
    <t>Subtotal Inicial</t>
  </si>
  <si>
    <t>Subtotal Atual</t>
  </si>
  <si>
    <t>02.15</t>
  </si>
  <si>
    <t>Adiantamento de Salário</t>
  </si>
  <si>
    <t>Desconsiderações</t>
  </si>
  <si>
    <t>Limpeza Caixa D`água</t>
  </si>
  <si>
    <t>Cadastro de Condomínios</t>
  </si>
  <si>
    <t>%</t>
  </si>
  <si>
    <t>Comparativo em Percentuais entre Despesas e Receitas</t>
  </si>
  <si>
    <t>Contribuição Sindical - Patronal</t>
  </si>
  <si>
    <t>Contribuição Assistencial - Patronal</t>
  </si>
  <si>
    <t>Homologação/exame</t>
  </si>
  <si>
    <t>02.17</t>
  </si>
  <si>
    <t>02.16</t>
  </si>
  <si>
    <t>Piso salarial</t>
  </si>
  <si>
    <t>06.23</t>
  </si>
  <si>
    <t>Conserto de Bomba</t>
  </si>
  <si>
    <t>Contribuição Confederativa - Empregado</t>
  </si>
  <si>
    <t>Contribuição Assistencial - Empregado</t>
  </si>
  <si>
    <t>02.18</t>
  </si>
  <si>
    <t>02.19</t>
  </si>
  <si>
    <t>02.20</t>
  </si>
  <si>
    <t>Contribuição Confederativa - Patronal</t>
  </si>
  <si>
    <t>06.24</t>
  </si>
  <si>
    <t>Disponibilização de dados na internet</t>
  </si>
  <si>
    <t>Despesas com Obras</t>
  </si>
  <si>
    <t>Contribuição Sindical - Empregado</t>
  </si>
  <si>
    <t>Despesas com Material</t>
  </si>
  <si>
    <t>Despesas com Mão de Obra</t>
  </si>
  <si>
    <t>COND. ED. BOSQUES DE VIENA</t>
  </si>
  <si>
    <t>COND. ED. BRISAMAR IV</t>
  </si>
  <si>
    <t>COND. ED. BRISAMAR V</t>
  </si>
  <si>
    <t>COND. ED. CANOEIROS</t>
  </si>
  <si>
    <t>COND. ED. CHATEAU ROYALE</t>
  </si>
  <si>
    <t>COND. ED. DANIELA</t>
  </si>
  <si>
    <t>COND. ED. ELDORADO II</t>
  </si>
  <si>
    <t>COND. ED. HENRIQUE MACEDO</t>
  </si>
  <si>
    <t>COND. ED. IBIZA</t>
  </si>
  <si>
    <t>COND. ED. IZABELA MANGUALDE</t>
  </si>
  <si>
    <t>COND. ED. JAMOR</t>
  </si>
  <si>
    <t>COND. ED. JUACEMA</t>
  </si>
  <si>
    <t>COND. ED. MAR DEL PLATA</t>
  </si>
  <si>
    <t>COND. ED. NAUTILLUS I</t>
  </si>
  <si>
    <t>COND. ED. NAUTILLUS II</t>
  </si>
  <si>
    <t>COND. ED. NAUTILLUS III</t>
  </si>
  <si>
    <t>COND. ED. NAUTILLUS VI</t>
  </si>
  <si>
    <t>COND. ED. NAUTILLUS VII</t>
  </si>
  <si>
    <t>COND. ED. PALACIO DAS DUNAS</t>
  </si>
  <si>
    <t xml:space="preserve">COND. ED. PORTAL DO SOL II                 </t>
  </si>
  <si>
    <t>COND. ED. PORTO BELO</t>
  </si>
  <si>
    <t>COND. ED. RIVE GAUCHE II</t>
  </si>
  <si>
    <t>COND. ED. RODRIGO</t>
  </si>
  <si>
    <t>COND. ED. VARANDAS DO CONTORNO</t>
  </si>
  <si>
    <t>COND. ED. VARANDAS DO MAR</t>
  </si>
  <si>
    <t>COND. ED. VITÓRIA RÉGIA</t>
  </si>
  <si>
    <t>PREVISÃO ORÇAMENTÁRIA</t>
  </si>
  <si>
    <t>Registro da Convenção do Condomínio</t>
  </si>
  <si>
    <t>02.21</t>
  </si>
  <si>
    <t>Seguro Funcionário</t>
  </si>
  <si>
    <t>Contrato de Manutenção</t>
  </si>
  <si>
    <t>Contrato Vigia Noturno</t>
  </si>
  <si>
    <t>Indenização Judicial</t>
  </si>
  <si>
    <t>Provisão</t>
  </si>
  <si>
    <t>COND. ED. SOLAR DAS GARÇAS</t>
  </si>
  <si>
    <t xml:space="preserve">COND. ED. RESID.COM. VILLE DE BIARRITZ </t>
  </si>
  <si>
    <t>COND. ED. CABO FRIO II</t>
  </si>
  <si>
    <t>COND. ED. CHATEAU LAVOISIER</t>
  </si>
  <si>
    <t>COND. ED. NAUTILLUS VIII</t>
  </si>
  <si>
    <t>COND. ED. PORTO DUNAS</t>
  </si>
  <si>
    <t>Fundo Reserva</t>
  </si>
  <si>
    <t>01.22</t>
  </si>
  <si>
    <t>Compl. Fundo Reserva</t>
  </si>
  <si>
    <t>01.23</t>
  </si>
  <si>
    <t>Tarifa Bancária</t>
  </si>
  <si>
    <t>01.24</t>
  </si>
  <si>
    <t>Multa</t>
  </si>
  <si>
    <t>01.25</t>
  </si>
  <si>
    <t>01.26</t>
  </si>
  <si>
    <t>Emprestimo</t>
  </si>
  <si>
    <t>01.27</t>
  </si>
  <si>
    <t>Diferença de taxa de condomínio</t>
  </si>
  <si>
    <t>01.28</t>
  </si>
  <si>
    <t>Internet</t>
  </si>
  <si>
    <t>01.29</t>
  </si>
  <si>
    <t>Correção Judicial</t>
  </si>
  <si>
    <t>01.30</t>
  </si>
  <si>
    <t>Custas Processuais</t>
  </si>
  <si>
    <t>01.31</t>
  </si>
  <si>
    <t>Vaga de garagem</t>
  </si>
  <si>
    <t>01.99</t>
  </si>
  <si>
    <t>Outros</t>
  </si>
  <si>
    <t>06.25</t>
  </si>
  <si>
    <t>08.06</t>
  </si>
  <si>
    <t>08.07</t>
  </si>
  <si>
    <t>08.08</t>
  </si>
  <si>
    <t>Contrato</t>
  </si>
  <si>
    <t>08.09</t>
  </si>
  <si>
    <t>Contrato Prestação Serviço Administração</t>
  </si>
  <si>
    <t>08.10</t>
  </si>
  <si>
    <t>Contrato Manut.Interfonia/portão/antena</t>
  </si>
  <si>
    <t>09.06</t>
  </si>
  <si>
    <t>10.01</t>
  </si>
  <si>
    <t>11.01</t>
  </si>
  <si>
    <t>11.02</t>
  </si>
  <si>
    <t>12</t>
  </si>
  <si>
    <t>12.01</t>
  </si>
  <si>
    <t>13.01</t>
  </si>
  <si>
    <t>14</t>
  </si>
  <si>
    <t>Despesas Administrativas</t>
  </si>
  <si>
    <t>14.01</t>
  </si>
  <si>
    <t>14.02</t>
  </si>
  <si>
    <t>14.03</t>
  </si>
  <si>
    <t>14.04</t>
  </si>
  <si>
    <t>Taxas de Condomínio</t>
  </si>
  <si>
    <t>Fundo de Reserva</t>
  </si>
  <si>
    <t>Contrato Manutenção de Elevador</t>
  </si>
  <si>
    <t>Contrato Manutenção de E.T.A.</t>
  </si>
  <si>
    <t>Contrato Manutenção Interfonia/Portão/Antena</t>
  </si>
  <si>
    <t>Seguro de Incêndio Obrigatório</t>
  </si>
  <si>
    <t>Outras despesas diversas</t>
  </si>
  <si>
    <t>01.32</t>
  </si>
  <si>
    <t>01.33</t>
  </si>
  <si>
    <t>01.34</t>
  </si>
  <si>
    <t>01.35</t>
  </si>
  <si>
    <t>01.36</t>
  </si>
  <si>
    <t>01.37</t>
  </si>
  <si>
    <t>01.38</t>
  </si>
  <si>
    <t>01.39</t>
  </si>
  <si>
    <t>Mensalidade</t>
  </si>
  <si>
    <t>Tronco de Beneficência</t>
  </si>
  <si>
    <t>Cota de água</t>
  </si>
  <si>
    <t>Fundo de Verão</t>
  </si>
  <si>
    <t>Água</t>
  </si>
  <si>
    <t>Energia</t>
  </si>
  <si>
    <t>Locação</t>
  </si>
  <si>
    <t>Salão de Festas / Churrasqueira</t>
  </si>
  <si>
    <t>02.22</t>
  </si>
  <si>
    <t>02.99</t>
  </si>
  <si>
    <t>Pensão Alimentícia</t>
  </si>
  <si>
    <t>03.07</t>
  </si>
  <si>
    <t>03.08</t>
  </si>
  <si>
    <t>03.09</t>
  </si>
  <si>
    <t>Gás do Condomínio</t>
  </si>
  <si>
    <t>Conta de Luz</t>
  </si>
  <si>
    <t>Conta de Água</t>
  </si>
  <si>
    <t>07.08</t>
  </si>
  <si>
    <t>Acordo Extrajudicial</t>
  </si>
  <si>
    <t>11.03</t>
  </si>
  <si>
    <t>14.05</t>
  </si>
  <si>
    <t>15</t>
  </si>
  <si>
    <t>Despesas com Montagem/Implantação</t>
  </si>
  <si>
    <t>15.01</t>
  </si>
  <si>
    <t>15.02</t>
  </si>
  <si>
    <t>15.03</t>
  </si>
  <si>
    <t>15.04</t>
  </si>
  <si>
    <t>Despesas com Obra</t>
  </si>
  <si>
    <t>Despesas com Aquisição de Equipamento</t>
  </si>
  <si>
    <t>Despesas com Aquisição de Móveis</t>
  </si>
  <si>
    <t>Registro de Convenção do Condomínio</t>
  </si>
  <si>
    <t>16</t>
  </si>
  <si>
    <t>Despesas pagas com o Fundo de Reserva</t>
  </si>
  <si>
    <t>16.01</t>
  </si>
  <si>
    <t>Despesas</t>
  </si>
  <si>
    <t>17</t>
  </si>
  <si>
    <t>Reembolso/Pró-labore ao Síndico</t>
  </si>
  <si>
    <t>17.01</t>
  </si>
  <si>
    <t>17.02</t>
  </si>
  <si>
    <t>Pró-labore do Síndico</t>
  </si>
  <si>
    <t>Reembolso Despesas Diversas</t>
  </si>
  <si>
    <t>Retenção de ISS</t>
  </si>
  <si>
    <t>Despesas com Benfeitorias</t>
  </si>
  <si>
    <t>Inflação</t>
  </si>
  <si>
    <t>Xerox (conta inativa)</t>
  </si>
  <si>
    <t>Correio (conta inativa)</t>
  </si>
  <si>
    <t>Material de Expediente (conta inativa)</t>
  </si>
  <si>
    <t>Despesas com telefone (conta inativa)</t>
  </si>
  <si>
    <t>13º Taxa de Administração (conta inativa)</t>
  </si>
  <si>
    <t>COND. ED. SAINT MALO</t>
  </si>
  <si>
    <t>Receitas Operacionais (mês)</t>
  </si>
  <si>
    <t>Aumento</t>
  </si>
  <si>
    <t>COND. ALBATROZ II</t>
  </si>
  <si>
    <t>COND. ED. ANGELINA</t>
  </si>
  <si>
    <t>COND. ED. ATLÂNTICO</t>
  </si>
  <si>
    <t>COND. ED. BLUE CENTER DE CABO FRIO</t>
  </si>
  <si>
    <t>COND. ED. CAMINHO DO MAR</t>
  </si>
  <si>
    <t>COND. ED. CAMINHO DO SOL</t>
  </si>
  <si>
    <t>COND. ED. CHATEAU MONDRIAN</t>
  </si>
  <si>
    <t>COND. ED. DIAMOND</t>
  </si>
  <si>
    <t>COND. ED. DUNA BEACH</t>
  </si>
  <si>
    <t>COND. ED. FORTE WAY</t>
  </si>
  <si>
    <t>COND. ED. LIBERDADE</t>
  </si>
  <si>
    <t>COND. ED. LORD NAYLOR</t>
  </si>
  <si>
    <t>COND. ED. MARALTO</t>
  </si>
  <si>
    <t>COND. ED. MEDITERRANEE</t>
  </si>
  <si>
    <t>COND. ED. MONTE BELLO</t>
  </si>
  <si>
    <t>COND. ED. MONTE VERDE</t>
  </si>
  <si>
    <t>COND. ED. NAUTILLUS XII</t>
  </si>
  <si>
    <t>COND. ED. PASSAGEM DAS ÁGUAS</t>
  </si>
  <si>
    <t>COND. PRAIA GRANDE RESIDENCE CLUBE I</t>
  </si>
  <si>
    <t>COND. ED. TERRA DOS IPÉS</t>
  </si>
  <si>
    <t>COND. ED. VARANDAS DE CABO FRIO</t>
  </si>
  <si>
    <t>COND. ED. VERDES MARES</t>
  </si>
  <si>
    <t>COND. VILLA DA PRAIA RESORT RESIDENCE</t>
  </si>
  <si>
    <t>Gastos com conservação</t>
  </si>
  <si>
    <t>VALOR MENSAL</t>
  </si>
  <si>
    <t>c/ FR</t>
  </si>
  <si>
    <t>s/ FR</t>
  </si>
  <si>
    <t>Compra de móveis (conta inativa)</t>
  </si>
  <si>
    <t>COND. ED. ANDREI NORILLER</t>
  </si>
  <si>
    <t>COND. ED. BEACH TOWN RESIDENCE</t>
  </si>
  <si>
    <t>COND. ED. RESIDENCE BELLE VIE</t>
  </si>
  <si>
    <t>COND. ED. JOANA D´ARC</t>
  </si>
  <si>
    <t>COND. ED. LUZ DO SOL</t>
  </si>
  <si>
    <t>COND. ED. CABO FRIO III</t>
  </si>
  <si>
    <t>COND. ED. CABO FRIO I</t>
  </si>
  <si>
    <t>COND. ED. DOM IVAN</t>
  </si>
  <si>
    <t>COND. ED. DOM PEDRO II</t>
  </si>
  <si>
    <t>COND. ED. DUNA BEACH II</t>
  </si>
  <si>
    <t>COND. ED. ILHA DE MALTA</t>
  </si>
  <si>
    <t>COND. ED. JANGADEIRO</t>
  </si>
  <si>
    <t>COND. ED. KENNEDY</t>
  </si>
  <si>
    <t>COND. LE CORSAIRE VILLAGE DE BÚZIOS</t>
  </si>
  <si>
    <t>COND. ED. MONTE ALEGRE</t>
  </si>
  <si>
    <t>COND. ED. NAUTILLUS XIV</t>
  </si>
  <si>
    <t>COND. ED. NAUTILLUS XV</t>
  </si>
  <si>
    <t>COND. ED. NAVEGANTES</t>
  </si>
  <si>
    <t>COND. VILLAGE DO SUL VI</t>
  </si>
  <si>
    <t>COND. ED. RIVE GAUCHE I</t>
  </si>
  <si>
    <t>04.25</t>
  </si>
  <si>
    <t>06.26</t>
  </si>
  <si>
    <t>Retenção de Pis, Cofins e CSLL</t>
  </si>
  <si>
    <t>Manutenção de Câmeras de Segurança</t>
  </si>
  <si>
    <t>COND. ALDEIA DOS ANJOS</t>
  </si>
  <si>
    <t>COND. ED. BELLA VISTA</t>
  </si>
  <si>
    <t>COND. ED. COMERCIAL BRB WORK CENTER</t>
  </si>
  <si>
    <t>COND. ED. CHATEAU DE L´ATLANTIQUE</t>
  </si>
  <si>
    <t>COND. ED. FORTE ARAUJO</t>
  </si>
  <si>
    <t>COND. RESIDENCIAL FRANCISCO DE ASSIS</t>
  </si>
  <si>
    <t>COND. ED. RESIDENCIAL BARRAMARES</t>
  </si>
  <si>
    <t>COND. ED. RESIDENCIAL BARRAMARES III</t>
  </si>
  <si>
    <t>COND. ED. RESIDENCIAL BARRAMARES IV</t>
  </si>
  <si>
    <t>COND. ED. RESIDENCIAL BARRAMARES IX</t>
  </si>
  <si>
    <t>COND. ED. RESIDENCIAL BARRAMARES V</t>
  </si>
  <si>
    <t>COND. ED. RESIDENCIAL BARRAMARES VII</t>
  </si>
  <si>
    <t>COND. ED. RESIDENCIAL BARRAMARES VI</t>
  </si>
  <si>
    <t>COND. ED. RESIDENCIAL BARRAMARES VIII</t>
  </si>
  <si>
    <t>COND. ED. RESIDENCIAL BARRAMARES XI</t>
  </si>
  <si>
    <t>COND. ED. RESIDENCIAL BARRAMARES XIV</t>
  </si>
  <si>
    <t>COND. ED. RESIDENCIAL BARRAMARES XV</t>
  </si>
  <si>
    <t>COND. ED. LUCY</t>
  </si>
  <si>
    <t>COND. POUSADA DO PORTINHO</t>
  </si>
  <si>
    <t>COND. ED. SOPHIA I</t>
  </si>
  <si>
    <t>01.40</t>
  </si>
  <si>
    <t>01.41</t>
  </si>
  <si>
    <t>01.42</t>
  </si>
  <si>
    <t>01.43</t>
  </si>
  <si>
    <t>01.44</t>
  </si>
  <si>
    <t>Transferência para a aplicação/poupança</t>
  </si>
  <si>
    <t>Resgate da conta de aplicação/poupança</t>
  </si>
  <si>
    <t>Rateio Gás/Internet/TV</t>
  </si>
  <si>
    <t>Sistema contra incêndio</t>
  </si>
  <si>
    <t>Taxa extra - D.P.</t>
  </si>
  <si>
    <t>02.23</t>
  </si>
  <si>
    <t>06.27</t>
  </si>
  <si>
    <t>Taxa sobre realização de AGE´s</t>
  </si>
  <si>
    <t>06.28</t>
  </si>
  <si>
    <t>IPTU</t>
  </si>
  <si>
    <t>06.29</t>
  </si>
  <si>
    <t>Retenção de Imposto de Renda</t>
  </si>
  <si>
    <t>08.11</t>
  </si>
  <si>
    <t>Contrato de Assinatura de Internet</t>
  </si>
  <si>
    <t>14.06</t>
  </si>
  <si>
    <t>Impressão boleto condominial</t>
  </si>
  <si>
    <t>18</t>
  </si>
  <si>
    <t>Investimentos</t>
  </si>
  <si>
    <t>18.01</t>
  </si>
  <si>
    <t>Aplicação para investimento/poupança</t>
  </si>
  <si>
    <t>18.02</t>
  </si>
  <si>
    <t>Resgate da conta aplicação/poupança</t>
  </si>
  <si>
    <t>18.03</t>
  </si>
  <si>
    <t>Transferencia para o Fundo de Reserva</t>
  </si>
  <si>
    <t>19</t>
  </si>
  <si>
    <t>Despesas Pagas com a Taxa Extra</t>
  </si>
  <si>
    <t>19.01</t>
  </si>
  <si>
    <t>Fundo de Obra</t>
  </si>
  <si>
    <t>ACRESCENTAR LINHAS</t>
  </si>
  <si>
    <t>02.24</t>
  </si>
  <si>
    <t>Plano de Assistência e Cuidado Pessoal</t>
  </si>
  <si>
    <t>INSS/IRRF/Pis/Cofins/CSLL</t>
  </si>
  <si>
    <t>Consult., Medicina e Seg. do Trabalho</t>
  </si>
  <si>
    <t>Manut. Extintores</t>
  </si>
  <si>
    <t>Total do relatório</t>
  </si>
  <si>
    <t>Diferença</t>
  </si>
  <si>
    <t>verificar se a diferença para o total do relatório é igual ao evento ESTORNO</t>
  </si>
  <si>
    <t>Estorno de Despesas Diversas</t>
  </si>
  <si>
    <t>Ajustes / Estornos (crédito)</t>
  </si>
  <si>
    <t>Estorno (crédito)</t>
  </si>
  <si>
    <t>Ajustes / Estornos (débito)</t>
  </si>
  <si>
    <t>Estorno (débito)</t>
  </si>
  <si>
    <t>01.45</t>
  </si>
  <si>
    <t>01.46</t>
  </si>
  <si>
    <t>01.48</t>
  </si>
  <si>
    <t>01.47</t>
  </si>
  <si>
    <t>Fundo de Melhoria</t>
  </si>
  <si>
    <t>Pró-Labore</t>
  </si>
  <si>
    <t>Aluguel de Espaço p/ Antena de Telefonia</t>
  </si>
  <si>
    <t>Energia Elétrica da Antena de Telefonia</t>
  </si>
  <si>
    <t>Recolhimento do IRRF</t>
  </si>
  <si>
    <t>02.25</t>
  </si>
  <si>
    <t>Vale Alimentação</t>
  </si>
  <si>
    <t>02.26</t>
  </si>
  <si>
    <t>02.27</t>
  </si>
  <si>
    <t>Certificado Digital</t>
  </si>
  <si>
    <t>04.26</t>
  </si>
  <si>
    <t>04.27</t>
  </si>
  <si>
    <t>Laudo de Autovistoria Predial</t>
  </si>
  <si>
    <t>Sistema de Combate a Incêndio</t>
  </si>
  <si>
    <t>05.05</t>
  </si>
  <si>
    <t>Título de Capitalização</t>
  </si>
  <si>
    <t>Aquisição de móveis</t>
  </si>
  <si>
    <t>06.30</t>
  </si>
  <si>
    <t>Devolução de empréstimo</t>
  </si>
  <si>
    <t>09.07</t>
  </si>
  <si>
    <t>09.08</t>
  </si>
  <si>
    <t>Legalização do Prédio</t>
  </si>
  <si>
    <t>Uniformes(conta inativa)</t>
  </si>
  <si>
    <t>selecionar a lista dos nomes que estão na coluna C (nõa marcar MATRIZ)</t>
  </si>
  <si>
    <t>como? Colocar no c3, segurar a tecla (seta pra cima ou shift) + tecla End + tecla de direção pra baixo</t>
  </si>
  <si>
    <t>com o mouse, clicar em Clasificar e Filtar, e Classificar de A à Z</t>
  </si>
  <si>
    <t>Contrato Manut. interf., câmera, portão e antena</t>
  </si>
  <si>
    <t>COND. ED. AGATHA III</t>
  </si>
  <si>
    <t>COND. ED. ALBATROZ</t>
  </si>
  <si>
    <t>COND. RESIDENCIAL ALDEIA DAS ASAS</t>
  </si>
  <si>
    <t>COND. ED. RESSURGÊNCIA</t>
  </si>
  <si>
    <t>COND. ED. SOLAR DA PRAIA GRANDE</t>
  </si>
  <si>
    <t xml:space="preserve">COND. ALDEIA DOS BURITIS   </t>
  </si>
  <si>
    <t>COND. DAS AROEIRAS</t>
  </si>
  <si>
    <t>COND. UP TOWN OF BÚZIOS</t>
  </si>
  <si>
    <t>COND. RESIDENCIAL BARRACUDAS</t>
  </si>
  <si>
    <t>COND. ED. BARRAMAR</t>
  </si>
  <si>
    <t>COND. ED. BERLIN</t>
  </si>
  <si>
    <t>COND. ED. COMERCIAL BRB II WORK CENTER</t>
  </si>
  <si>
    <t>COND. ED. BRISAMAR III</t>
  </si>
  <si>
    <t>COND. RESIDENCIAL BS ÁGATA</t>
  </si>
  <si>
    <t>CENTRO COMERCIAL D´COSTA MARTINS</t>
  </si>
  <si>
    <t>CENTRO EMPRESARIAL DR. SYLVIO COSTA</t>
  </si>
  <si>
    <t>COND. ED. RESIDENCIAL CÔTE D´AZUR</t>
  </si>
  <si>
    <t>COND. ENSEADA DE GERIBÁ RESORT</t>
  </si>
  <si>
    <t>COND. ED. ILHA DE BALI</t>
  </si>
  <si>
    <t>COND. ED. JUIZ DE FORA</t>
  </si>
  <si>
    <t>COND. LAGOA BUENA VISTA</t>
  </si>
  <si>
    <t>COND. ED. LIBERTY I</t>
  </si>
  <si>
    <t>COND. RESIDENCIAL MAR AZUL</t>
  </si>
  <si>
    <t>COND. ED. MATEUS</t>
  </si>
  <si>
    <t>COND. CONJ. RESIDENCIAL MORADA DAS DUNAS I</t>
  </si>
  <si>
    <t>COND. ED. OCEAN RESIDENCE</t>
  </si>
  <si>
    <t>COND. PARQUE DAS AMENDOEIRAS III</t>
  </si>
  <si>
    <t>COND. ED. PEDRA DO SOL</t>
  </si>
  <si>
    <t>COND. ED. PRAIA BELA</t>
  </si>
  <si>
    <t>COND. RESIDENCIAL PRINCIPADO DE MÔNACO</t>
  </si>
  <si>
    <t>COND. RESIDENCIAL PRINCIPADO SAN MARINO</t>
  </si>
  <si>
    <t>COND. RESIDENCIAL RECREIO DE BÚZIOS</t>
  </si>
  <si>
    <t>COND. ED. SAINT JAMES</t>
  </si>
  <si>
    <t>COND. CONJ. RESIDENCIAL SAINT TROPEZ</t>
  </si>
  <si>
    <t>COND. SANTORINI</t>
  </si>
  <si>
    <t>COND. ED. VENEZA</t>
  </si>
  <si>
    <t>COND. ED. BRISAMAR VI</t>
  </si>
  <si>
    <t>COND. DA PRAINHA</t>
  </si>
  <si>
    <t>COND. ED. RESIDENCIAL BARRAMARES XVII</t>
  </si>
  <si>
    <t>COND. ED. RESIDENCIAL BARRAMARES XX</t>
  </si>
  <si>
    <t>COND. ED. RESIDENCIAL BARRAMARES XXI</t>
  </si>
  <si>
    <t>PREVISÃO ORÇAMENTÁRIA PARA 2026/2027</t>
  </si>
  <si>
    <t>11 de junho de 2026</t>
  </si>
  <si>
    <t>Contrato Sena Contabilidade</t>
  </si>
</sst>
</file>

<file path=xl/styles.xml><?xml version="1.0" encoding="utf-8"?>
<styleSheet xmlns="http://schemas.openxmlformats.org/spreadsheetml/2006/main">
  <numFmts count="3">
    <numFmt numFmtId="164" formatCode="d\ mmmm\,\ yyyy"/>
    <numFmt numFmtId="165" formatCode="#,##0.00;[Red]#,##0.00"/>
    <numFmt numFmtId="166" formatCode="d\ &quot;de&quot;\ mmmm\ &quot;de&quot;\ yyyy"/>
  </numFmts>
  <fonts count="50">
    <font>
      <sz val="10"/>
      <color indexed="8"/>
      <name val="MS Sans Serif"/>
    </font>
    <font>
      <b/>
      <sz val="7.95"/>
      <color indexed="8"/>
      <name val="Courier New"/>
      <family val="3"/>
    </font>
    <font>
      <sz val="7.7"/>
      <color indexed="8"/>
      <name val="Courier New"/>
      <family val="3"/>
    </font>
    <font>
      <sz val="7.7"/>
      <color indexed="8"/>
      <name val="Courier New"/>
      <family val="3"/>
    </font>
    <font>
      <b/>
      <i/>
      <sz val="7.9"/>
      <color indexed="8"/>
      <name val="Courier New"/>
      <family val="3"/>
    </font>
    <font>
      <b/>
      <i/>
      <sz val="7.9"/>
      <color indexed="8"/>
      <name val="Courier New"/>
      <family val="3"/>
    </font>
    <font>
      <b/>
      <sz val="7.95"/>
      <color indexed="8"/>
      <name val="Courier New"/>
      <family val="3"/>
    </font>
    <font>
      <b/>
      <sz val="6"/>
      <color indexed="8"/>
      <name val="Courier New"/>
      <family val="3"/>
    </font>
    <font>
      <b/>
      <u/>
      <sz val="13.5"/>
      <color indexed="8"/>
      <name val="MS Sans Serif"/>
      <family val="2"/>
    </font>
    <font>
      <b/>
      <sz val="16"/>
      <color indexed="8"/>
      <name val="Times New Roman"/>
      <family val="1"/>
    </font>
    <font>
      <b/>
      <sz val="11"/>
      <color indexed="8"/>
      <name val="MS Sans Serif"/>
      <family val="2"/>
    </font>
    <font>
      <b/>
      <sz val="10"/>
      <color indexed="12"/>
      <name val="MS Sans Serif"/>
      <family val="2"/>
    </font>
    <font>
      <sz val="16"/>
      <color indexed="8"/>
      <name val="MS Sans Serif"/>
      <family val="2"/>
    </font>
    <font>
      <b/>
      <u/>
      <sz val="14"/>
      <color indexed="8"/>
      <name val="Times New Roman"/>
      <family val="1"/>
    </font>
    <font>
      <b/>
      <u/>
      <sz val="12"/>
      <color indexed="8"/>
      <name val="MS Sans Serif"/>
      <family val="2"/>
    </font>
    <font>
      <sz val="12"/>
      <color indexed="8"/>
      <name val="MS Sans Serif"/>
      <family val="2"/>
    </font>
    <font>
      <b/>
      <sz val="12"/>
      <color indexed="8"/>
      <name val="MS Sans Serif"/>
      <family val="2"/>
    </font>
    <font>
      <b/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Courier New"/>
      <family val="3"/>
    </font>
    <font>
      <sz val="10"/>
      <color indexed="8"/>
      <name val="MS Sans Serif"/>
      <family val="2"/>
    </font>
    <font>
      <b/>
      <sz val="12"/>
      <color indexed="8"/>
      <name val="Courier New"/>
      <family val="3"/>
    </font>
    <font>
      <b/>
      <sz val="11"/>
      <color indexed="12"/>
      <name val="MS Sans Serif"/>
      <family val="2"/>
    </font>
    <font>
      <sz val="11"/>
      <color indexed="8"/>
      <name val="MS Sans Serif"/>
      <family val="2"/>
    </font>
    <font>
      <sz val="10"/>
      <color indexed="9"/>
      <name val="MS Sans Serif"/>
      <family val="2"/>
    </font>
    <font>
      <sz val="10"/>
      <name val="MS Sans Serif"/>
      <family val="2"/>
    </font>
    <font>
      <sz val="10"/>
      <color indexed="10"/>
      <name val="MS Sans Serif"/>
      <family val="2"/>
    </font>
    <font>
      <sz val="11"/>
      <color indexed="50"/>
      <name val="MS Sans Serif"/>
      <family val="2"/>
    </font>
    <font>
      <b/>
      <sz val="20"/>
      <color indexed="8"/>
      <name val="Times New Roman"/>
      <family val="1"/>
    </font>
    <font>
      <sz val="20"/>
      <color indexed="8"/>
      <name val="MS Sans Serif"/>
      <family val="2"/>
    </font>
    <font>
      <b/>
      <sz val="10"/>
      <name val="MS Sans Serif"/>
      <family val="2"/>
    </font>
    <font>
      <sz val="13.5"/>
      <color indexed="10"/>
      <name val="MS Sans Serif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8"/>
      <color indexed="8"/>
      <name val="MS Sans Serif"/>
      <family val="2"/>
    </font>
    <font>
      <sz val="11"/>
      <name val="MS Sans Serif"/>
      <family val="2"/>
    </font>
    <font>
      <sz val="8"/>
      <name val="MS Sans Serif"/>
      <family val="2"/>
    </font>
    <font>
      <sz val="8.0500000000000007"/>
      <color indexed="8"/>
      <name val="Arial"/>
      <family val="2"/>
    </font>
    <font>
      <b/>
      <sz val="7.9"/>
      <color indexed="8"/>
      <name val="Arial"/>
      <family val="2"/>
    </font>
    <font>
      <sz val="11"/>
      <color theme="3"/>
      <name val="MS Sans Serif"/>
      <family val="2"/>
    </font>
    <font>
      <sz val="10"/>
      <color theme="3"/>
      <name val="MS Sans Serif"/>
      <family val="2"/>
    </font>
    <font>
      <b/>
      <sz val="10"/>
      <color theme="3"/>
      <name val="MS Sans Serif"/>
      <family val="2"/>
    </font>
    <font>
      <sz val="10"/>
      <color theme="0"/>
      <name val="MS Sans Serif"/>
      <family val="2"/>
    </font>
    <font>
      <b/>
      <sz val="18"/>
      <color theme="0"/>
      <name val="MS Sans Serif"/>
      <family val="2"/>
    </font>
    <font>
      <sz val="8.0500000000000007"/>
      <color indexed="8"/>
      <name val="Arial"/>
      <family val="2"/>
    </font>
    <font>
      <b/>
      <sz val="12"/>
      <color indexed="8"/>
      <name val="Arial"/>
      <family val="2"/>
    </font>
    <font>
      <sz val="11"/>
      <color theme="0"/>
      <name val="MS Sans Serif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protection hidden="1"/>
    </xf>
    <xf numFmtId="0" fontId="0" fillId="0" borderId="0" xfId="0" applyFill="1" applyBorder="1" applyProtection="1"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protection hidden="1"/>
    </xf>
    <xf numFmtId="0" fontId="0" fillId="0" borderId="0" xfId="0" applyBorder="1" applyProtection="1">
      <protection hidden="1"/>
    </xf>
    <xf numFmtId="0" fontId="9" fillId="0" borderId="0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0" fillId="2" borderId="2" xfId="0" applyFont="1" applyFill="1" applyBorder="1" applyAlignment="1" applyProtection="1">
      <alignment horizontal="center"/>
      <protection hidden="1"/>
    </xf>
    <xf numFmtId="0" fontId="10" fillId="2" borderId="3" xfId="0" applyFont="1" applyFill="1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4" fontId="0" fillId="0" borderId="5" xfId="0" applyNumberFormat="1" applyBorder="1" applyAlignment="1" applyProtection="1">
      <alignment horizontal="center"/>
      <protection hidden="1"/>
    </xf>
    <xf numFmtId="4" fontId="24" fillId="0" borderId="0" xfId="0" applyNumberFormat="1" applyFont="1" applyProtection="1">
      <protection hidden="1"/>
    </xf>
    <xf numFmtId="0" fontId="11" fillId="2" borderId="6" xfId="0" applyFont="1" applyFill="1" applyBorder="1" applyProtection="1">
      <protection hidden="1"/>
    </xf>
    <xf numFmtId="4" fontId="17" fillId="2" borderId="7" xfId="0" applyNumberFormat="1" applyFont="1" applyFill="1" applyBorder="1" applyAlignment="1" applyProtection="1">
      <alignment horizontal="center"/>
      <protection hidden="1"/>
    </xf>
    <xf numFmtId="0" fontId="24" fillId="0" borderId="0" xfId="0" applyFont="1" applyProtection="1">
      <protection hidden="1"/>
    </xf>
    <xf numFmtId="0" fontId="24" fillId="0" borderId="0" xfId="0" applyFont="1" applyAlignment="1" applyProtection="1">
      <protection hidden="1"/>
    </xf>
    <xf numFmtId="0" fontId="0" fillId="0" borderId="5" xfId="0" applyBorder="1" applyProtection="1">
      <protection hidden="1"/>
    </xf>
    <xf numFmtId="0" fontId="11" fillId="2" borderId="4" xfId="0" applyFont="1" applyFill="1" applyBorder="1" applyProtection="1">
      <protection hidden="1"/>
    </xf>
    <xf numFmtId="4" fontId="17" fillId="2" borderId="5" xfId="0" applyNumberFormat="1" applyFont="1" applyFill="1" applyBorder="1" applyAlignment="1" applyProtection="1">
      <alignment horizontal="center"/>
      <protection hidden="1"/>
    </xf>
    <xf numFmtId="0" fontId="11" fillId="2" borderId="8" xfId="0" applyFont="1" applyFill="1" applyBorder="1" applyProtection="1">
      <protection hidden="1"/>
    </xf>
    <xf numFmtId="0" fontId="15" fillId="0" borderId="0" xfId="0" applyFont="1" applyAlignment="1" applyProtection="1">
      <alignment horizontal="right"/>
      <protection hidden="1"/>
    </xf>
    <xf numFmtId="164" fontId="0" fillId="0" borderId="0" xfId="0" applyNumberFormat="1" applyAlignment="1" applyProtection="1">
      <alignment horizontal="left"/>
      <protection hidden="1"/>
    </xf>
    <xf numFmtId="0" fontId="16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9" xfId="0" applyBorder="1" applyProtection="1">
      <protection hidden="1"/>
    </xf>
    <xf numFmtId="0" fontId="0" fillId="0" borderId="9" xfId="0" applyBorder="1" applyAlignment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18" fillId="0" borderId="0" xfId="0" applyFont="1" applyProtection="1">
      <protection hidden="1"/>
    </xf>
    <xf numFmtId="0" fontId="22" fillId="0" borderId="0" xfId="0" applyFont="1" applyProtection="1"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23" fillId="0" borderId="0" xfId="0" applyFont="1" applyProtection="1">
      <protection hidden="1"/>
    </xf>
    <xf numFmtId="0" fontId="0" fillId="0" borderId="0" xfId="0" applyFill="1" applyProtection="1">
      <protection hidden="1"/>
    </xf>
    <xf numFmtId="0" fontId="20" fillId="0" borderId="0" xfId="0" applyFont="1" applyProtection="1">
      <protection hidden="1"/>
    </xf>
    <xf numFmtId="4" fontId="22" fillId="3" borderId="0" xfId="0" applyNumberFormat="1" applyFont="1" applyFill="1" applyProtection="1">
      <protection hidden="1"/>
    </xf>
    <xf numFmtId="0" fontId="22" fillId="0" borderId="0" xfId="0" applyFont="1" applyFill="1" applyProtection="1">
      <protection hidden="1"/>
    </xf>
    <xf numFmtId="4" fontId="23" fillId="0" borderId="0" xfId="0" applyNumberFormat="1" applyFont="1" applyProtection="1">
      <protection hidden="1"/>
    </xf>
    <xf numFmtId="4" fontId="25" fillId="4" borderId="0" xfId="0" applyNumberFormat="1" applyFont="1" applyFill="1" applyProtection="1">
      <protection hidden="1"/>
    </xf>
    <xf numFmtId="4" fontId="23" fillId="3" borderId="0" xfId="0" applyNumberFormat="1" applyFont="1" applyFill="1" applyProtection="1">
      <protection hidden="1"/>
    </xf>
    <xf numFmtId="4" fontId="25" fillId="3" borderId="0" xfId="0" applyNumberFormat="1" applyFont="1" applyFill="1" applyProtection="1">
      <protection hidden="1"/>
    </xf>
    <xf numFmtId="4" fontId="22" fillId="0" borderId="0" xfId="0" applyNumberFormat="1" applyFont="1" applyProtection="1">
      <protection hidden="1"/>
    </xf>
    <xf numFmtId="0" fontId="1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3" fillId="0" borderId="0" xfId="0" applyFont="1" applyProtection="1">
      <protection locked="0"/>
    </xf>
    <xf numFmtId="0" fontId="23" fillId="3" borderId="0" xfId="0" applyFont="1" applyFill="1" applyProtection="1">
      <protection locked="0"/>
    </xf>
    <xf numFmtId="0" fontId="0" fillId="0" borderId="0" xfId="0" applyFill="1" applyProtection="1">
      <protection locked="0"/>
    </xf>
    <xf numFmtId="4" fontId="0" fillId="0" borderId="0" xfId="0" applyNumberFormat="1" applyFill="1" applyProtection="1">
      <protection locked="0"/>
    </xf>
    <xf numFmtId="0" fontId="26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4" fontId="27" fillId="0" borderId="0" xfId="0" applyNumberFormat="1" applyFont="1" applyFill="1" applyProtection="1">
      <protection hidden="1"/>
    </xf>
    <xf numFmtId="0" fontId="0" fillId="0" borderId="10" xfId="0" applyBorder="1" applyProtection="1">
      <protection hidden="1"/>
    </xf>
    <xf numFmtId="0" fontId="26" fillId="0" borderId="0" xfId="0" applyFont="1" applyAlignment="1" applyProtection="1">
      <protection hidden="1"/>
    </xf>
    <xf numFmtId="0" fontId="0" fillId="0" borderId="0" xfId="0" applyBorder="1" applyAlignment="1" applyProtection="1">
      <protection hidden="1"/>
    </xf>
    <xf numFmtId="0" fontId="15" fillId="0" borderId="9" xfId="0" applyFont="1" applyBorder="1" applyAlignment="1" applyProtection="1">
      <alignment horizontal="right"/>
      <protection hidden="1"/>
    </xf>
    <xf numFmtId="164" fontId="0" fillId="0" borderId="9" xfId="0" applyNumberFormat="1" applyBorder="1" applyAlignment="1" applyProtection="1">
      <alignment horizontal="left"/>
      <protection hidden="1"/>
    </xf>
    <xf numFmtId="0" fontId="16" fillId="0" borderId="9" xfId="0" applyFont="1" applyBorder="1" applyProtection="1">
      <protection hidden="1"/>
    </xf>
    <xf numFmtId="4" fontId="0" fillId="0" borderId="11" xfId="0" applyNumberFormat="1" applyBorder="1" applyAlignment="1" applyProtection="1">
      <alignment horizontal="center"/>
      <protection hidden="1"/>
    </xf>
    <xf numFmtId="3" fontId="0" fillId="0" borderId="0" xfId="0" applyNumberFormat="1" applyFill="1" applyProtection="1">
      <protection locked="0"/>
    </xf>
    <xf numFmtId="4" fontId="31" fillId="0" borderId="12" xfId="0" applyNumberFormat="1" applyFont="1" applyBorder="1" applyAlignment="1" applyProtection="1">
      <alignment horizontal="center"/>
      <protection hidden="1"/>
    </xf>
    <xf numFmtId="0" fontId="15" fillId="0" borderId="13" xfId="0" applyFont="1" applyBorder="1" applyAlignment="1" applyProtection="1">
      <alignment horizontal="center"/>
      <protection hidden="1"/>
    </xf>
    <xf numFmtId="4" fontId="32" fillId="0" borderId="12" xfId="0" applyNumberFormat="1" applyFont="1" applyBorder="1" applyAlignment="1" applyProtection="1">
      <alignment horizontal="center"/>
      <protection hidden="1"/>
    </xf>
    <xf numFmtId="4" fontId="33" fillId="0" borderId="14" xfId="0" applyNumberFormat="1" applyFont="1" applyBorder="1" applyAlignment="1" applyProtection="1">
      <alignment horizontal="center"/>
      <protection hidden="1"/>
    </xf>
    <xf numFmtId="0" fontId="0" fillId="0" borderId="15" xfId="0" applyBorder="1" applyProtection="1"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4" fontId="34" fillId="0" borderId="12" xfId="0" applyNumberFormat="1" applyFont="1" applyBorder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locked="0" hidden="1"/>
    </xf>
    <xf numFmtId="4" fontId="0" fillId="0" borderId="17" xfId="0" applyNumberFormat="1" applyBorder="1" applyAlignment="1" applyProtection="1">
      <alignment horizontal="center"/>
      <protection hidden="1"/>
    </xf>
    <xf numFmtId="14" fontId="0" fillId="0" borderId="0" xfId="0" applyNumberFormat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9" fontId="24" fillId="0" borderId="0" xfId="0" applyNumberFormat="1" applyFont="1" applyProtection="1">
      <protection hidden="1"/>
    </xf>
    <xf numFmtId="166" fontId="23" fillId="0" borderId="0" xfId="0" applyNumberFormat="1" applyFont="1" applyAlignment="1" applyProtection="1">
      <alignment horizontal="left"/>
      <protection locked="0"/>
    </xf>
    <xf numFmtId="0" fontId="25" fillId="0" borderId="0" xfId="0" applyFont="1" applyAlignment="1" applyProtection="1">
      <alignment horizontal="left" indent="1"/>
      <protection hidden="1"/>
    </xf>
    <xf numFmtId="0" fontId="0" fillId="0" borderId="0" xfId="0" applyAlignment="1">
      <alignment horizontal="left" indent="1"/>
    </xf>
    <xf numFmtId="0" fontId="10" fillId="5" borderId="2" xfId="0" applyFont="1" applyFill="1" applyBorder="1" applyAlignment="1" applyProtection="1">
      <alignment horizontal="center"/>
      <protection hidden="1"/>
    </xf>
    <xf numFmtId="0" fontId="10" fillId="5" borderId="16" xfId="0" applyFont="1" applyFill="1" applyBorder="1" applyAlignment="1" applyProtection="1">
      <alignment horizontal="center"/>
      <protection hidden="1"/>
    </xf>
    <xf numFmtId="0" fontId="11" fillId="5" borderId="6" xfId="0" applyFont="1" applyFill="1" applyBorder="1" applyProtection="1">
      <protection hidden="1"/>
    </xf>
    <xf numFmtId="4" fontId="17" fillId="5" borderId="7" xfId="0" applyNumberFormat="1" applyFont="1" applyFill="1" applyBorder="1" applyAlignment="1" applyProtection="1">
      <alignment horizontal="center"/>
      <protection hidden="1"/>
    </xf>
    <xf numFmtId="0" fontId="10" fillId="5" borderId="3" xfId="0" applyFont="1" applyFill="1" applyBorder="1" applyAlignment="1" applyProtection="1">
      <alignment horizontal="center"/>
      <protection hidden="1"/>
    </xf>
    <xf numFmtId="0" fontId="11" fillId="5" borderId="4" xfId="0" applyFont="1" applyFill="1" applyBorder="1" applyProtection="1">
      <protection hidden="1"/>
    </xf>
    <xf numFmtId="4" fontId="17" fillId="5" borderId="5" xfId="0" applyNumberFormat="1" applyFont="1" applyFill="1" applyBorder="1" applyAlignment="1" applyProtection="1">
      <alignment horizontal="center"/>
      <protection hidden="1"/>
    </xf>
    <xf numFmtId="0" fontId="11" fillId="5" borderId="8" xfId="0" applyFont="1" applyFill="1" applyBorder="1" applyProtection="1">
      <protection hidden="1"/>
    </xf>
    <xf numFmtId="165" fontId="17" fillId="5" borderId="18" xfId="0" applyNumberFormat="1" applyFont="1" applyFill="1" applyBorder="1" applyAlignment="1" applyProtection="1">
      <alignment horizontal="center"/>
      <protection hidden="1"/>
    </xf>
    <xf numFmtId="0" fontId="26" fillId="0" borderId="19" xfId="0" applyFont="1" applyBorder="1" applyProtection="1">
      <protection hidden="1"/>
    </xf>
    <xf numFmtId="0" fontId="26" fillId="5" borderId="20" xfId="0" applyFont="1" applyFill="1" applyBorder="1" applyProtection="1">
      <protection hidden="1"/>
    </xf>
    <xf numFmtId="0" fontId="26" fillId="5" borderId="19" xfId="0" applyFont="1" applyFill="1" applyBorder="1" applyProtection="1">
      <protection hidden="1"/>
    </xf>
    <xf numFmtId="0" fontId="26" fillId="0" borderId="0" xfId="0" applyFont="1" applyBorder="1" applyProtection="1">
      <protection hidden="1"/>
    </xf>
    <xf numFmtId="0" fontId="26" fillId="5" borderId="21" xfId="0" applyFont="1" applyFill="1" applyBorder="1" applyProtection="1">
      <protection hidden="1"/>
    </xf>
    <xf numFmtId="2" fontId="25" fillId="0" borderId="19" xfId="0" applyNumberFormat="1" applyFont="1" applyBorder="1" applyAlignment="1" applyProtection="1">
      <alignment horizontal="center"/>
      <protection hidden="1"/>
    </xf>
    <xf numFmtId="10" fontId="24" fillId="0" borderId="5" xfId="0" applyNumberFormat="1" applyFon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 shrinkToFit="1"/>
      <protection hidden="1"/>
    </xf>
    <xf numFmtId="4" fontId="36" fillId="0" borderId="0" xfId="0" applyNumberFormat="1" applyFont="1" applyFill="1" applyProtection="1">
      <protection hidden="1"/>
    </xf>
    <xf numFmtId="4" fontId="36" fillId="3" borderId="0" xfId="0" applyNumberFormat="1" applyFont="1" applyFill="1" applyProtection="1">
      <protection hidden="1"/>
    </xf>
    <xf numFmtId="4" fontId="17" fillId="2" borderId="18" xfId="0" applyNumberFormat="1" applyFont="1" applyFill="1" applyBorder="1" applyAlignment="1" applyProtection="1">
      <alignment horizontal="center"/>
      <protection hidden="1"/>
    </xf>
    <xf numFmtId="4" fontId="25" fillId="0" borderId="0" xfId="0" applyNumberFormat="1" applyFont="1" applyFill="1" applyProtection="1">
      <protection hidden="1"/>
    </xf>
    <xf numFmtId="0" fontId="0" fillId="0" borderId="0" xfId="0" applyNumberFormat="1" applyFill="1" applyBorder="1" applyAlignment="1" applyProtection="1"/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4" fontId="0" fillId="0" borderId="0" xfId="0" applyNumberFormat="1" applyProtection="1">
      <protection hidden="1"/>
    </xf>
    <xf numFmtId="0" fontId="18" fillId="0" borderId="4" xfId="0" applyFont="1" applyBorder="1" applyProtection="1">
      <protection hidden="1"/>
    </xf>
    <xf numFmtId="0" fontId="18" fillId="0" borderId="10" xfId="0" applyFont="1" applyBorder="1" applyProtection="1">
      <protection hidden="1"/>
    </xf>
    <xf numFmtId="0" fontId="18" fillId="0" borderId="0" xfId="0" applyFont="1" applyFill="1" applyProtection="1">
      <protection hidden="1"/>
    </xf>
    <xf numFmtId="4" fontId="40" fillId="0" borderId="0" xfId="0" applyNumberFormat="1" applyFont="1" applyFill="1" applyProtection="1">
      <protection hidden="1"/>
    </xf>
    <xf numFmtId="4" fontId="41" fillId="0" borderId="0" xfId="0" applyNumberFormat="1" applyFont="1" applyFill="1" applyProtection="1">
      <protection hidden="1"/>
    </xf>
    <xf numFmtId="0" fontId="18" fillId="0" borderId="4" xfId="0" applyFont="1" applyBorder="1" applyProtection="1">
      <protection locked="0"/>
    </xf>
    <xf numFmtId="0" fontId="2" fillId="0" borderId="0" xfId="0" applyFont="1" applyAlignment="1" applyProtection="1">
      <alignment vertical="center"/>
      <protection hidden="1"/>
    </xf>
    <xf numFmtId="4" fontId="22" fillId="0" borderId="0" xfId="0" applyNumberFormat="1" applyFont="1" applyFill="1" applyProtection="1">
      <protection hidden="1"/>
    </xf>
    <xf numFmtId="0" fontId="39" fillId="0" borderId="0" xfId="0" quotePrefix="1" applyFont="1" applyAlignment="1">
      <alignment vertical="center"/>
    </xf>
    <xf numFmtId="4" fontId="36" fillId="6" borderId="0" xfId="0" applyNumberFormat="1" applyFont="1" applyFill="1" applyProtection="1">
      <protection hidden="1"/>
    </xf>
    <xf numFmtId="4" fontId="25" fillId="6" borderId="0" xfId="0" applyNumberFormat="1" applyFont="1" applyFill="1" applyProtection="1">
      <protection hidden="1"/>
    </xf>
    <xf numFmtId="4" fontId="22" fillId="6" borderId="0" xfId="0" applyNumberFormat="1" applyFont="1" applyFill="1" applyProtection="1">
      <protection hidden="1"/>
    </xf>
    <xf numFmtId="0" fontId="18" fillId="0" borderId="4" xfId="0" applyFont="1" applyFill="1" applyBorder="1" applyProtection="1">
      <protection hidden="1"/>
    </xf>
    <xf numFmtId="0" fontId="23" fillId="6" borderId="0" xfId="0" applyFont="1" applyFill="1" applyProtection="1">
      <protection locked="0"/>
    </xf>
    <xf numFmtId="4" fontId="41" fillId="6" borderId="0" xfId="0" applyNumberFormat="1" applyFont="1" applyFill="1" applyProtection="1">
      <protection hidden="1"/>
    </xf>
    <xf numFmtId="4" fontId="23" fillId="6" borderId="0" xfId="0" applyNumberFormat="1" applyFont="1" applyFill="1" applyProtection="1">
      <protection hidden="1"/>
    </xf>
    <xf numFmtId="0" fontId="0" fillId="6" borderId="0" xfId="0" applyFill="1" applyAlignment="1">
      <alignment horizontal="center"/>
    </xf>
    <xf numFmtId="0" fontId="18" fillId="0" borderId="0" xfId="0" applyFont="1" applyAlignment="1">
      <alignment horizontal="left" indent="1"/>
    </xf>
    <xf numFmtId="0" fontId="43" fillId="0" borderId="0" xfId="0" applyFont="1" applyAlignment="1" applyProtection="1">
      <alignment horizontal="center"/>
      <protection hidden="1"/>
    </xf>
    <xf numFmtId="4" fontId="41" fillId="7" borderId="0" xfId="0" applyNumberFormat="1" applyFont="1" applyFill="1" applyProtection="1">
      <protection hidden="1"/>
    </xf>
    <xf numFmtId="4" fontId="40" fillId="7" borderId="0" xfId="0" applyNumberFormat="1" applyFont="1" applyFill="1" applyProtection="1">
      <protection hidden="1"/>
    </xf>
    <xf numFmtId="4" fontId="0" fillId="0" borderId="0" xfId="0" applyNumberFormat="1" applyProtection="1">
      <protection locked="0"/>
    </xf>
    <xf numFmtId="0" fontId="44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 applyProtection="1">
      <alignment horizontal="center"/>
      <protection locked="0" hidden="1"/>
    </xf>
    <xf numFmtId="0" fontId="24" fillId="8" borderId="0" xfId="0" applyFont="1" applyFill="1" applyProtection="1">
      <protection hidden="1"/>
    </xf>
    <xf numFmtId="0" fontId="24" fillId="8" borderId="0" xfId="0" applyFont="1" applyFill="1" applyAlignment="1" applyProtection="1">
      <protection hidden="1"/>
    </xf>
    <xf numFmtId="0" fontId="26" fillId="8" borderId="0" xfId="0" applyFont="1" applyFill="1" applyProtection="1">
      <protection hidden="1"/>
    </xf>
    <xf numFmtId="0" fontId="0" fillId="8" borderId="0" xfId="0" applyFill="1" applyProtection="1">
      <protection hidden="1"/>
    </xf>
    <xf numFmtId="0" fontId="0" fillId="8" borderId="0" xfId="0" applyFill="1" applyAlignment="1" applyProtection="1">
      <protection hidden="1"/>
    </xf>
    <xf numFmtId="0" fontId="0" fillId="8" borderId="0" xfId="0" applyFill="1" applyBorder="1" applyProtection="1">
      <protection hidden="1"/>
    </xf>
    <xf numFmtId="0" fontId="0" fillId="8" borderId="1" xfId="0" applyFill="1" applyBorder="1" applyProtection="1">
      <protection hidden="1"/>
    </xf>
    <xf numFmtId="0" fontId="0" fillId="8" borderId="1" xfId="0" applyFill="1" applyBorder="1" applyAlignment="1" applyProtection="1">
      <protection hidden="1"/>
    </xf>
    <xf numFmtId="0" fontId="29" fillId="8" borderId="0" xfId="0" applyFont="1" applyFill="1" applyBorder="1" applyAlignment="1" applyProtection="1">
      <protection hidden="1"/>
    </xf>
    <xf numFmtId="0" fontId="9" fillId="8" borderId="0" xfId="0" applyFont="1" applyFill="1" applyBorder="1" applyAlignment="1" applyProtection="1">
      <alignment horizontal="center"/>
      <protection hidden="1"/>
    </xf>
    <xf numFmtId="0" fontId="13" fillId="8" borderId="0" xfId="0" applyFont="1" applyFill="1" applyAlignment="1" applyProtection="1">
      <alignment horizontal="center"/>
      <protection locked="0"/>
    </xf>
    <xf numFmtId="0" fontId="8" fillId="8" borderId="0" xfId="0" applyFont="1" applyFill="1" applyAlignment="1" applyProtection="1">
      <alignment horizontal="center"/>
      <protection hidden="1"/>
    </xf>
    <xf numFmtId="4" fontId="0" fillId="8" borderId="5" xfId="0" applyNumberFormat="1" applyFill="1" applyBorder="1" applyAlignment="1" applyProtection="1">
      <alignment horizontal="center"/>
      <protection hidden="1"/>
    </xf>
    <xf numFmtId="0" fontId="24" fillId="8" borderId="0" xfId="0" applyFont="1" applyFill="1" applyAlignment="1" applyProtection="1">
      <alignment horizontal="center"/>
      <protection locked="0" hidden="1"/>
    </xf>
    <xf numFmtId="0" fontId="24" fillId="8" borderId="0" xfId="0" applyFont="1" applyFill="1" applyAlignment="1" applyProtection="1">
      <alignment horizontal="center"/>
      <protection hidden="1"/>
    </xf>
    <xf numFmtId="0" fontId="0" fillId="8" borderId="4" xfId="0" applyFill="1" applyBorder="1" applyProtection="1">
      <protection hidden="1"/>
    </xf>
    <xf numFmtId="0" fontId="43" fillId="8" borderId="0" xfId="0" applyFont="1" applyFill="1" applyAlignment="1" applyProtection="1">
      <alignment horizontal="center"/>
      <protection hidden="1"/>
    </xf>
    <xf numFmtId="0" fontId="26" fillId="8" borderId="0" xfId="0" applyFont="1" applyFill="1" applyAlignment="1" applyProtection="1">
      <protection hidden="1"/>
    </xf>
    <xf numFmtId="0" fontId="42" fillId="8" borderId="0" xfId="0" applyFont="1" applyFill="1" applyAlignment="1" applyProtection="1">
      <alignment horizontal="center"/>
      <protection hidden="1"/>
    </xf>
    <xf numFmtId="9" fontId="42" fillId="8" borderId="20" xfId="0" applyNumberFormat="1" applyFont="1" applyFill="1" applyBorder="1" applyAlignment="1" applyProtection="1">
      <alignment horizontal="center"/>
      <protection locked="0"/>
    </xf>
    <xf numFmtId="10" fontId="42" fillId="8" borderId="20" xfId="0" applyNumberFormat="1" applyFont="1" applyFill="1" applyBorder="1" applyAlignment="1" applyProtection="1">
      <alignment horizontal="center"/>
      <protection locked="0"/>
    </xf>
    <xf numFmtId="0" fontId="30" fillId="8" borderId="8" xfId="0" applyFont="1" applyFill="1" applyBorder="1" applyProtection="1">
      <protection hidden="1"/>
    </xf>
    <xf numFmtId="4" fontId="17" fillId="8" borderId="18" xfId="0" applyNumberFormat="1" applyFont="1" applyFill="1" applyBorder="1" applyAlignment="1" applyProtection="1">
      <alignment horizontal="center"/>
      <protection hidden="1"/>
    </xf>
    <xf numFmtId="0" fontId="14" fillId="8" borderId="0" xfId="0" applyFont="1" applyFill="1" applyAlignment="1" applyProtection="1">
      <alignment horizontal="center"/>
      <protection hidden="1"/>
    </xf>
    <xf numFmtId="0" fontId="23" fillId="8" borderId="0" xfId="0" applyFont="1" applyFill="1" applyAlignment="1" applyProtection="1">
      <alignment horizontal="left"/>
      <protection hidden="1"/>
    </xf>
    <xf numFmtId="0" fontId="23" fillId="8" borderId="0" xfId="0" applyFont="1" applyFill="1" applyAlignment="1" applyProtection="1">
      <alignment horizontal="right"/>
      <protection hidden="1"/>
    </xf>
    <xf numFmtId="166" fontId="23" fillId="8" borderId="0" xfId="0" applyNumberFormat="1" applyFont="1" applyFill="1" applyAlignment="1" applyProtection="1">
      <alignment horizontal="left"/>
      <protection locked="0"/>
    </xf>
    <xf numFmtId="0" fontId="16" fillId="8" borderId="0" xfId="0" applyFont="1" applyFill="1" applyProtection="1">
      <protection hidden="1"/>
    </xf>
    <xf numFmtId="0" fontId="25" fillId="8" borderId="0" xfId="0" applyFont="1" applyFill="1" applyProtection="1">
      <protection hidden="1"/>
    </xf>
    <xf numFmtId="0" fontId="18" fillId="8" borderId="25" xfId="0" applyFont="1" applyFill="1" applyBorder="1" applyProtection="1">
      <protection hidden="1"/>
    </xf>
    <xf numFmtId="4" fontId="0" fillId="8" borderId="26" xfId="0" applyNumberFormat="1" applyFill="1" applyBorder="1" applyAlignment="1" applyProtection="1">
      <alignment horizontal="center"/>
      <protection hidden="1"/>
    </xf>
    <xf numFmtId="0" fontId="10" fillId="8" borderId="8" xfId="0" applyFont="1" applyFill="1" applyBorder="1" applyAlignment="1" applyProtection="1">
      <alignment horizontal="center"/>
      <protection hidden="1"/>
    </xf>
    <xf numFmtId="0" fontId="10" fillId="8" borderId="18" xfId="0" applyFont="1" applyFill="1" applyBorder="1" applyAlignment="1" applyProtection="1">
      <alignment horizontal="center"/>
      <protection hidden="1"/>
    </xf>
    <xf numFmtId="0" fontId="0" fillId="8" borderId="10" xfId="0" applyFill="1" applyBorder="1" applyProtection="1">
      <protection hidden="1"/>
    </xf>
    <xf numFmtId="4" fontId="0" fillId="8" borderId="11" xfId="0" applyNumberFormat="1" applyFill="1" applyBorder="1" applyAlignment="1" applyProtection="1">
      <alignment horizontal="center"/>
      <protection hidden="1"/>
    </xf>
    <xf numFmtId="0" fontId="10" fillId="8" borderId="20" xfId="0" applyFont="1" applyFill="1" applyBorder="1" applyAlignment="1" applyProtection="1">
      <alignment horizontal="center"/>
      <protection hidden="1"/>
    </xf>
    <xf numFmtId="0" fontId="0" fillId="8" borderId="25" xfId="0" applyFill="1" applyBorder="1" applyProtection="1">
      <protection hidden="1"/>
    </xf>
    <xf numFmtId="0" fontId="0" fillId="8" borderId="25" xfId="0" applyFill="1" applyBorder="1" applyAlignment="1" applyProtection="1">
      <alignment horizontal="center" shrinkToFit="1"/>
      <protection hidden="1"/>
    </xf>
    <xf numFmtId="0" fontId="30" fillId="8" borderId="20" xfId="0" applyFont="1" applyFill="1" applyBorder="1" applyProtection="1">
      <protection hidden="1"/>
    </xf>
    <xf numFmtId="4" fontId="17" fillId="8" borderId="20" xfId="0" applyNumberFormat="1" applyFont="1" applyFill="1" applyBorder="1" applyAlignment="1" applyProtection="1">
      <alignment horizontal="center"/>
      <protection hidden="1"/>
    </xf>
    <xf numFmtId="0" fontId="0" fillId="8" borderId="11" xfId="0" applyFill="1" applyBorder="1" applyProtection="1">
      <protection hidden="1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4" fontId="0" fillId="0" borderId="0" xfId="0" applyNumberFormat="1" applyFill="1" applyProtection="1">
      <protection hidden="1"/>
    </xf>
    <xf numFmtId="4" fontId="47" fillId="7" borderId="0" xfId="0" applyNumberFormat="1" applyFont="1" applyFill="1" applyProtection="1">
      <protection hidden="1"/>
    </xf>
    <xf numFmtId="0" fontId="39" fillId="0" borderId="0" xfId="0" applyFont="1" applyAlignment="1">
      <alignment horizontal="left" vertical="center"/>
    </xf>
    <xf numFmtId="0" fontId="18" fillId="0" borderId="0" xfId="0" applyFont="1"/>
    <xf numFmtId="0" fontId="35" fillId="0" borderId="0" xfId="0" applyFont="1" applyAlignment="1">
      <alignment horizontal="center"/>
    </xf>
    <xf numFmtId="0" fontId="0" fillId="8" borderId="0" xfId="0" applyFill="1" applyAlignment="1">
      <alignment horizontal="left" indent="1"/>
    </xf>
    <xf numFmtId="0" fontId="19" fillId="0" borderId="0" xfId="0" applyFont="1" applyAlignment="1">
      <alignment vertical="center"/>
    </xf>
    <xf numFmtId="0" fontId="8" fillId="0" borderId="0" xfId="0" applyFont="1" applyAlignment="1" applyProtection="1">
      <alignment horizontal="center"/>
      <protection hidden="1"/>
    </xf>
    <xf numFmtId="0" fontId="9" fillId="2" borderId="22" xfId="0" applyFont="1" applyFill="1" applyBorder="1" applyAlignment="1" applyProtection="1">
      <alignment horizontal="center"/>
      <protection hidden="1"/>
    </xf>
    <xf numFmtId="0" fontId="12" fillId="0" borderId="23" xfId="0" applyFont="1" applyBorder="1" applyAlignment="1" applyProtection="1">
      <protection hidden="1"/>
    </xf>
    <xf numFmtId="0" fontId="12" fillId="0" borderId="24" xfId="0" applyFont="1" applyBorder="1" applyAlignment="1" applyProtection="1">
      <protection hidden="1"/>
    </xf>
    <xf numFmtId="0" fontId="13" fillId="0" borderId="0" xfId="0" applyFont="1" applyAlignment="1" applyProtection="1">
      <alignment horizontal="center"/>
      <protection locked="0"/>
    </xf>
    <xf numFmtId="0" fontId="28" fillId="8" borderId="22" xfId="0" applyFont="1" applyFill="1" applyBorder="1" applyAlignment="1" applyProtection="1">
      <alignment horizontal="center"/>
      <protection hidden="1"/>
    </xf>
    <xf numFmtId="0" fontId="28" fillId="8" borderId="23" xfId="0" applyFont="1" applyFill="1" applyBorder="1" applyAlignment="1" applyProtection="1">
      <alignment horizontal="center"/>
      <protection hidden="1"/>
    </xf>
    <xf numFmtId="0" fontId="28" fillId="8" borderId="24" xfId="0" applyFont="1" applyFill="1" applyBorder="1" applyAlignment="1" applyProtection="1">
      <alignment horizontal="center"/>
      <protection hidden="1"/>
    </xf>
    <xf numFmtId="0" fontId="17" fillId="8" borderId="0" xfId="0" applyFont="1" applyFill="1" applyAlignment="1" applyProtection="1">
      <alignment horizontal="left"/>
      <protection hidden="1"/>
    </xf>
    <xf numFmtId="0" fontId="13" fillId="8" borderId="0" xfId="0" applyFont="1" applyFill="1" applyAlignment="1" applyProtection="1">
      <alignment horizontal="center"/>
      <protection locked="0"/>
    </xf>
    <xf numFmtId="0" fontId="14" fillId="8" borderId="0" xfId="0" applyFont="1" applyFill="1" applyAlignment="1" applyProtection="1">
      <alignment horizontal="center"/>
      <protection hidden="1"/>
    </xf>
    <xf numFmtId="0" fontId="35" fillId="0" borderId="0" xfId="0" applyFont="1" applyAlignment="1">
      <alignment horizontal="center"/>
    </xf>
    <xf numFmtId="0" fontId="28" fillId="5" borderId="22" xfId="0" applyFont="1" applyFill="1" applyBorder="1" applyAlignment="1" applyProtection="1">
      <alignment horizontal="center"/>
      <protection hidden="1"/>
    </xf>
    <xf numFmtId="0" fontId="29" fillId="5" borderId="23" xfId="0" applyFont="1" applyFill="1" applyBorder="1" applyAlignment="1" applyProtection="1">
      <protection hidden="1"/>
    </xf>
    <xf numFmtId="0" fontId="29" fillId="5" borderId="24" xfId="0" applyFont="1" applyFill="1" applyBorder="1" applyAlignment="1" applyProtection="1">
      <protection hidden="1"/>
    </xf>
  </cellXfs>
  <cellStyles count="1">
    <cellStyle name="Normal" xfId="0" builtinId="0"/>
  </cellStyles>
  <dxfs count="1">
    <dxf>
      <font>
        <condense val="0"/>
        <extend val="0"/>
        <color indexed="9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VALOR  MÉDIO MENSAL DE DESPESAS DE 2018  </a:t>
            </a:r>
          </a:p>
        </c:rich>
      </c:tx>
      <c:layout>
        <c:manualLayout>
          <c:xMode val="edge"/>
          <c:yMode val="edge"/>
          <c:x val="0.28847635744750688"/>
          <c:y val="2.04778156996614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plotArea>
      <c:layout>
        <c:manualLayout>
          <c:layoutTarget val="inner"/>
          <c:xMode val="edge"/>
          <c:yMode val="edge"/>
          <c:x val="8.7500000000000008E-2"/>
          <c:y val="0.10125142207053472"/>
          <c:w val="0.90312499999999951"/>
          <c:h val="0.5927189988622991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 P R E V I S Ã O  (2)'!$D$21</c:f>
              <c:strCache>
                <c:ptCount val="1"/>
                <c:pt idx="0">
                  <c:v>VALOR MÉDIO MENSAL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8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9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Val val="1"/>
          </c:dLbls>
          <c:cat>
            <c:strRef>
              <c:f>' P R E V I S Ã O  (2)'!$C$22:$C$46</c:f>
              <c:strCache>
                <c:ptCount val="12"/>
                <c:pt idx="0">
                  <c:v>Despesas com Pessoal</c:v>
                </c:pt>
                <c:pt idx="1">
                  <c:v>Luz do Condomínio</c:v>
                </c:pt>
                <c:pt idx="2">
                  <c:v>Água do Condomínio</c:v>
                </c:pt>
                <c:pt idx="3">
                  <c:v>Material de Limpeza</c:v>
                </c:pt>
                <c:pt idx="4">
                  <c:v>Gastos com conservação</c:v>
                </c:pt>
                <c:pt idx="5">
                  <c:v>Tarifas Bancárias</c:v>
                </c:pt>
                <c:pt idx="6">
                  <c:v>Seguro de Incêndio Obrigatório</c:v>
                </c:pt>
                <c:pt idx="7">
                  <c:v>Contrato Manutenção de Elevador</c:v>
                </c:pt>
                <c:pt idx="8">
                  <c:v>Contrato Sena Contabilidade</c:v>
                </c:pt>
                <c:pt idx="9">
                  <c:v>Contrato Prestação Serviço Administração</c:v>
                </c:pt>
                <c:pt idx="10">
                  <c:v>Despesas Administrativas</c:v>
                </c:pt>
                <c:pt idx="11">
                  <c:v>Pró-labore do Síndico</c:v>
                </c:pt>
              </c:strCache>
            </c:strRef>
          </c:cat>
          <c:val>
            <c:numRef>
              <c:f>' P R E V I S Ã O  (2)'!$D$22:$D$46</c:f>
              <c:numCache>
                <c:formatCode>#,##0.00</c:formatCode>
                <c:ptCount val="13"/>
                <c:pt idx="0">
                  <c:v>4223.3525</c:v>
                </c:pt>
                <c:pt idx="1">
                  <c:v>808.34916666666675</c:v>
                </c:pt>
                <c:pt idx="2">
                  <c:v>4941.9333333333334</c:v>
                </c:pt>
                <c:pt idx="3">
                  <c:v>220.79999999999998</c:v>
                </c:pt>
                <c:pt idx="4">
                  <c:v>1400.5783333333336</c:v>
                </c:pt>
                <c:pt idx="5">
                  <c:v>84.493333333333325</c:v>
                </c:pt>
                <c:pt idx="6">
                  <c:v>380.53250000000003</c:v>
                </c:pt>
                <c:pt idx="7">
                  <c:v>880.12</c:v>
                </c:pt>
                <c:pt idx="8">
                  <c:v>436.21000000000004</c:v>
                </c:pt>
                <c:pt idx="9">
                  <c:v>1378</c:v>
                </c:pt>
                <c:pt idx="10">
                  <c:v>189.89166666666665</c:v>
                </c:pt>
                <c:pt idx="11">
                  <c:v>849.98333333333323</c:v>
                </c:pt>
                <c:pt idx="12">
                  <c:v>0</c:v>
                </c:pt>
              </c:numCache>
            </c:numRef>
          </c:val>
        </c:ser>
        <c:axId val="209237504"/>
        <c:axId val="209239040"/>
      </c:barChart>
      <c:catAx>
        <c:axId val="209237504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9239040"/>
        <c:crosses val="autoZero"/>
        <c:auto val="1"/>
        <c:lblAlgn val="ctr"/>
        <c:lblOffset val="100"/>
        <c:tickLblSkip val="1"/>
        <c:tickMarkSkip val="1"/>
      </c:catAx>
      <c:valAx>
        <c:axId val="20923904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9237504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7001">
              <a:srgbClr val="E6E6E6"/>
            </a:gs>
            <a:gs pos="32001">
              <a:srgbClr val="7D8496"/>
            </a:gs>
            <a:gs pos="47000">
              <a:srgbClr val="E6E6E6"/>
            </a:gs>
            <a:gs pos="85001">
              <a:srgbClr val="7D8496"/>
            </a:gs>
            <a:gs pos="100000">
              <a:srgbClr val="E6E6E6"/>
            </a:gs>
          </a:gsLst>
          <a:lin ang="27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2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Despesas do Condomínio ??????????
Valores em percentuais relativos à receita mensal</a:t>
            </a:r>
          </a:p>
        </c:rich>
      </c:tx>
      <c:layout>
        <c:manualLayout>
          <c:xMode val="edge"/>
          <c:yMode val="edge"/>
          <c:x val="0.12996686817656591"/>
          <c:y val="1.9721577726219953E-2"/>
        </c:manualLayout>
      </c:layout>
      <c:spPr>
        <a:noFill/>
        <a:ln w="25400">
          <a:noFill/>
        </a:ln>
      </c:spPr>
    </c:title>
    <c:view3D>
      <c:rotX val="25"/>
      <c:hPercent val="50"/>
      <c:perspective val="0"/>
    </c:view3D>
    <c:plotArea>
      <c:layout>
        <c:manualLayout>
          <c:layoutTarget val="inner"/>
          <c:xMode val="edge"/>
          <c:yMode val="edge"/>
          <c:x val="0.14954051796157061"/>
          <c:y val="0.30046403712299302"/>
          <c:w val="0.7092731829573935"/>
          <c:h val="0.48027842227378187"/>
        </c:manualLayout>
      </c:layout>
      <c:pie3DChart>
        <c:varyColors val="1"/>
        <c:ser>
          <c:idx val="0"/>
          <c:order val="0"/>
          <c:tx>
            <c:strRef>
              <c:f>'Comp. Desp-Rec'!$E$19:$E$28</c:f>
              <c:strCache>
                <c:ptCount val="1"/>
                <c:pt idx="0">
                  <c:v>24,86 4,76 29,09 1,30 8,24 0,50 2,24 5,18 2,57 8,11</c:v>
                </c:pt>
              </c:strCache>
            </c:strRef>
          </c:tx>
          <c:spPr>
            <a:solidFill>
              <a:srgbClr val="8080FF"/>
            </a:solidFill>
            <a:ln w="25400">
              <a:noFill/>
            </a:ln>
          </c:spPr>
          <c:explosion val="25"/>
          <c:dLbls>
            <c:dLbl>
              <c:idx val="0"/>
              <c:layout>
                <c:manualLayout>
                  <c:x val="-2.108080143232869E-2"/>
                  <c:y val="-4.1601239787139371E-3"/>
                </c:manualLayout>
              </c:layout>
              <c:dLblPos val="bestFit"/>
              <c:showVal val="1"/>
            </c:dLbl>
            <c:dLbl>
              <c:idx val="2"/>
              <c:layout>
                <c:manualLayout>
                  <c:xMode val="edge"/>
                  <c:yMode val="edge"/>
                  <c:x val="0.41176470588237407"/>
                  <c:y val="7.9594790159195433E-2"/>
                </c:manualLayout>
              </c:layout>
              <c:dLblPos val="bestFit"/>
              <c:showVal val="1"/>
            </c:dLbl>
            <c:dLbl>
              <c:idx val="3"/>
              <c:layout>
                <c:manualLayout>
                  <c:xMode val="edge"/>
                  <c:yMode val="edge"/>
                  <c:x val="0.41692466460271477"/>
                  <c:y val="8.6830680173661398E-2"/>
                </c:manualLayout>
              </c:layout>
              <c:dLblPos val="bestFit"/>
              <c:showVal val="1"/>
            </c:dLbl>
            <c:dLbl>
              <c:idx val="4"/>
              <c:layout>
                <c:manualLayout>
                  <c:xMode val="edge"/>
                  <c:yMode val="edge"/>
                  <c:x val="0.39834881320953647"/>
                  <c:y val="0.11287988422575965"/>
                </c:manualLayout>
              </c:layout>
              <c:dLblPos val="bestFit"/>
              <c:showVal val="1"/>
            </c:dLbl>
            <c:dLbl>
              <c:idx val="5"/>
              <c:layout>
                <c:manualLayout>
                  <c:xMode val="edge"/>
                  <c:yMode val="edge"/>
                  <c:x val="0.4086687306501548"/>
                  <c:y val="8.2489146164978239E-2"/>
                </c:manualLayout>
              </c:layout>
              <c:dLblPos val="bestFit"/>
              <c:showVal val="1"/>
            </c:dLbl>
            <c:dLbl>
              <c:idx val="6"/>
              <c:layout>
                <c:manualLayout>
                  <c:xMode val="edge"/>
                  <c:yMode val="edge"/>
                  <c:x val="0.41176470588237407"/>
                  <c:y val="9.5513748191027745E-2"/>
                </c:manualLayout>
              </c:layout>
              <c:dLblPos val="bestFit"/>
              <c:showVal val="1"/>
            </c:dLbl>
            <c:dLbl>
              <c:idx val="7"/>
              <c:layout>
                <c:manualLayout>
                  <c:xMode val="edge"/>
                  <c:yMode val="edge"/>
                  <c:x val="0.41795665634675438"/>
                  <c:y val="8.8277858176555743E-2"/>
                </c:manualLayout>
              </c:layout>
              <c:dLblPos val="bestFit"/>
              <c:showVal val="1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Val val="1"/>
            <c:showLeaderLines val="1"/>
          </c:dLbls>
          <c:cat>
            <c:strRef>
              <c:f>'Comp. Desp-Rec'!$C$29</c:f>
              <c:strCache>
                <c:ptCount val="1"/>
                <c:pt idx="0">
                  <c:v>Despesas Administrativas</c:v>
                </c:pt>
              </c:strCache>
            </c:strRef>
          </c:cat>
          <c:val>
            <c:numRef>
              <c:f>'Comp. Desp-Rec'!$E$29</c:f>
              <c:numCache>
                <c:formatCode>0.00</c:formatCode>
                <c:ptCount val="1"/>
                <c:pt idx="0">
                  <c:v>1.1175830582902917</c:v>
                </c:pt>
              </c:numCache>
            </c:numRef>
          </c:val>
        </c:ser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6883876357560549E-2"/>
          <c:y val="0.88863109048723898"/>
          <c:w val="0.83959899749376365"/>
          <c:h val="9.6287703016241413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áf5"/>
  <sheetViews>
    <sheetView zoomScale="68" workbookViewId="0"/>
  </sheetViews>
  <pageMargins left="0.39370078740157483" right="0.39370078740157483" top="0.39370078740157483" bottom="0.39370078740157483" header="0.51181102362204722" footer="0.51181102362204722"/>
  <pageSetup paperSize="9"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áf7"/>
  <sheetViews>
    <sheetView workbookViewId="0"/>
  </sheetViews>
  <pageMargins left="0.39370078740157483" right="0.39370078740157483" top="0.59055118110236227" bottom="0.59055118110236227" header="0.51181102362204722" footer="0.51181102362204722"/>
  <pageSetup orientation="landscape" draft="1" horizontalDpi="360" verticalDpi="36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15240</xdr:rowOff>
    </xdr:from>
    <xdr:to>
      <xdr:col>2</xdr:col>
      <xdr:colOff>685800</xdr:colOff>
      <xdr:row>2</xdr:row>
      <xdr:rowOff>129540</xdr:rowOff>
    </xdr:to>
    <xdr:pic>
      <xdr:nvPicPr>
        <xdr:cNvPr id="1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" y="15240"/>
          <a:ext cx="1889760" cy="434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114300</xdr:colOff>
      <xdr:row>71</xdr:row>
      <xdr:rowOff>152400</xdr:rowOff>
    </xdr:from>
    <xdr:to>
      <xdr:col>4</xdr:col>
      <xdr:colOff>182880</xdr:colOff>
      <xdr:row>73</xdr:row>
      <xdr:rowOff>152399</xdr:rowOff>
    </xdr:to>
    <xdr:pic>
      <xdr:nvPicPr>
        <xdr:cNvPr id="125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11490960"/>
          <a:ext cx="6461760" cy="3581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45720</xdr:colOff>
      <xdr:row>0</xdr:row>
      <xdr:rowOff>15240</xdr:rowOff>
    </xdr:from>
    <xdr:to>
      <xdr:col>2</xdr:col>
      <xdr:colOff>1165860</xdr:colOff>
      <xdr:row>3</xdr:row>
      <xdr:rowOff>60960</xdr:rowOff>
    </xdr:to>
    <xdr:grpSp>
      <xdr:nvGrpSpPr>
        <xdr:cNvPr id="1259" name="Group 14"/>
        <xdr:cNvGrpSpPr>
          <a:grpSpLocks/>
        </xdr:cNvGrpSpPr>
      </xdr:nvGrpSpPr>
      <xdr:grpSpPr bwMode="auto">
        <a:xfrm>
          <a:off x="45720" y="15240"/>
          <a:ext cx="2342515" cy="521970"/>
          <a:chOff x="0" y="1"/>
          <a:chExt cx="264" cy="67"/>
        </a:xfrm>
      </xdr:grpSpPr>
      <xdr:pic>
        <xdr:nvPicPr>
          <xdr:cNvPr id="1260" name="Picture 9" descr="Logo Horizontal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12" y="2"/>
            <a:ext cx="237" cy="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61" name="Rectangle 10"/>
          <xdr:cNvSpPr>
            <a:spLocks noChangeArrowheads="1"/>
          </xdr:cNvSpPr>
        </xdr:nvSpPr>
        <xdr:spPr bwMode="auto">
          <a:xfrm>
            <a:off x="1" y="2"/>
            <a:ext cx="252" cy="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262" name="Rectangle 11"/>
          <xdr:cNvSpPr>
            <a:spLocks noChangeArrowheads="1"/>
          </xdr:cNvSpPr>
        </xdr:nvSpPr>
        <xdr:spPr bwMode="auto">
          <a:xfrm>
            <a:off x="1" y="58"/>
            <a:ext cx="252" cy="1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263" name="Rectangle 12"/>
          <xdr:cNvSpPr>
            <a:spLocks noChangeArrowheads="1"/>
          </xdr:cNvSpPr>
        </xdr:nvSpPr>
        <xdr:spPr bwMode="auto">
          <a:xfrm>
            <a:off x="240" y="1"/>
            <a:ext cx="24" cy="6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264" name="Rectangle 13"/>
          <xdr:cNvSpPr>
            <a:spLocks noChangeArrowheads="1"/>
          </xdr:cNvSpPr>
        </xdr:nvSpPr>
        <xdr:spPr bwMode="auto">
          <a:xfrm>
            <a:off x="0" y="1"/>
            <a:ext cx="24" cy="6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41030</xdr:colOff>
      <xdr:row>56</xdr:row>
      <xdr:rowOff>11430</xdr:rowOff>
    </xdr:from>
    <xdr:to>
      <xdr:col>5</xdr:col>
      <xdr:colOff>29600</xdr:colOff>
      <xdr:row>86</xdr:row>
      <xdr:rowOff>152400</xdr:rowOff>
    </xdr:to>
    <xdr:sp macro="" textlink="" fLocksText="0">
      <xdr:nvSpPr>
        <xdr:cNvPr id="3074" name="Text Box 2"/>
        <xdr:cNvSpPr txBox="1">
          <a:spLocks noChangeArrowheads="1"/>
        </xdr:cNvSpPr>
      </xdr:nvSpPr>
      <xdr:spPr bwMode="auto">
        <a:xfrm>
          <a:off x="41030" y="9697622"/>
          <a:ext cx="7234897" cy="46543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</a:t>
          </a: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2) O ítem "</a:t>
          </a:r>
          <a:r>
            <a:rPr lang="pt-BR" sz="1100" b="0" i="0" u="sng" baseline="0">
              <a:latin typeface="+mn-lt"/>
              <a:ea typeface="+mn-ea"/>
              <a:cs typeface="+mn-cs"/>
            </a:rPr>
            <a:t>Gastos com conservação</a:t>
          </a:r>
          <a:r>
            <a:rPr lang="pt-BR" sz="1100" b="0" i="0" baseline="0">
              <a:latin typeface="+mn-lt"/>
              <a:ea typeface="+mn-ea"/>
              <a:cs typeface="+mn-cs"/>
            </a:rPr>
            <a:t>" é composto de despesas de manutenção tais como: elétrica, hidráulica, portão, piscina,  dedetização, recarga de extintores, limpeza de fossa e caixas de gordura, limpeza de caixas d´água, reparo no elevador, compra de gás, conserto de bomba, etc;</a:t>
          </a:r>
          <a:endParaRPr lang="pt-BR" sz="1100">
            <a:latin typeface="+mn-lt"/>
          </a:endParaRP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           </a:t>
          </a:r>
        </a:p>
        <a:p>
          <a:pPr rtl="0" fontAlgn="base"/>
          <a:r>
            <a:rPr lang="pt-BR" sz="1100" b="0" i="0" baseline="0">
              <a:latin typeface="+mn-lt"/>
              <a:ea typeface="+mn-ea"/>
              <a:cs typeface="+mn-cs"/>
            </a:rPr>
            <a:t>3) O item "</a:t>
          </a:r>
          <a:r>
            <a:rPr lang="pt-BR" sz="1100" b="0" i="0" u="sng" baseline="0">
              <a:latin typeface="+mn-lt"/>
              <a:ea typeface="+mn-ea"/>
              <a:cs typeface="+mn-cs"/>
            </a:rPr>
            <a:t>Despesas Administrativas</a:t>
          </a:r>
          <a:r>
            <a:rPr lang="pt-BR" sz="1100" b="0" i="0" baseline="0">
              <a:latin typeface="+mn-lt"/>
              <a:ea typeface="+mn-ea"/>
              <a:cs typeface="+mn-cs"/>
            </a:rPr>
            <a:t>" é composto por gastos com: material de  expediente, xerox, correio, etc;</a:t>
          </a:r>
        </a:p>
        <a:p>
          <a:pPr rtl="0" fontAlgn="base"/>
          <a:endParaRPr lang="pt-BR" sz="1100" b="0" i="0" baseline="0">
            <a:latin typeface="+mn-lt"/>
            <a:ea typeface="+mn-ea"/>
            <a:cs typeface="+mn-cs"/>
          </a:endParaRP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4) A receita, provavelmente, será suficiente para cobrir as despesas ordinárias nos próximos 12 meses;</a:t>
          </a:r>
          <a:endParaRPr lang="pt-BR" sz="1100">
            <a:latin typeface="+mn-lt"/>
          </a:endParaRPr>
        </a:p>
        <a:p>
          <a:pPr rtl="0" fontAlgn="base"/>
          <a:endParaRPr lang="pt-BR" sz="1100" b="0" i="0" baseline="0">
            <a:latin typeface="+mn-lt"/>
            <a:ea typeface="+mn-ea"/>
            <a:cs typeface="+mn-cs"/>
          </a:endParaRP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5) O último reajuste do valor da Taxa de Condomínio ocorreu em  AGOSTO/2025;</a:t>
          </a:r>
          <a:endParaRPr lang="pt-BR" sz="1100">
            <a:latin typeface="+mn-lt"/>
          </a:endParaRPr>
        </a:p>
        <a:p>
          <a:pPr rtl="0" fontAlgn="base"/>
          <a:endParaRPr lang="pt-BR" sz="1100" b="0" i="0" baseline="0">
            <a:latin typeface="+mn-lt"/>
            <a:ea typeface="+mn-ea"/>
            <a:cs typeface="+mn-cs"/>
          </a:endParaRP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6) </a:t>
          </a:r>
          <a:r>
            <a:rPr lang="pt-BR" sz="1100" b="1" i="0" baseline="0">
              <a:latin typeface="+mn-lt"/>
              <a:ea typeface="+mn-ea"/>
              <a:cs typeface="+mn-cs"/>
            </a:rPr>
            <a:t>Sugestão</a:t>
          </a:r>
          <a:r>
            <a:rPr lang="pt-BR" sz="1100" b="0" i="0" baseline="0">
              <a:latin typeface="+mn-lt"/>
              <a:ea typeface="+mn-ea"/>
              <a:cs typeface="+mn-cs"/>
            </a:rPr>
            <a:t>: </a:t>
          </a:r>
          <a:r>
            <a:rPr lang="pt-BR" sz="1100">
              <a:latin typeface="+mn-lt"/>
              <a:ea typeface="+mn-ea"/>
              <a:cs typeface="+mn-cs"/>
            </a:rPr>
            <a:t>Caso os valores arrecadados para a constituição do Fundo de Reserva sejam utilizados para o custeio de despesas ordinárias — </a:t>
          </a:r>
          <a:r>
            <a:rPr lang="pt-BR" sz="1100" b="1">
              <a:latin typeface="+mn-lt"/>
              <a:ea typeface="+mn-ea"/>
              <a:cs typeface="+mn-cs"/>
            </a:rPr>
            <a:t>prática não recomendada </a:t>
          </a:r>
          <a:r>
            <a:rPr lang="pt-BR" sz="1100">
              <a:latin typeface="+mn-lt"/>
              <a:ea typeface="+mn-ea"/>
              <a:cs typeface="+mn-cs"/>
            </a:rPr>
            <a:t>—, sugerimos manter o valor da taxa condominial. No entanto, caso os recursos do Fundo de Reserva sejam preservados para sua finalidade original, recomendamos um reajuste de,  pelo menos, 5%  (cinco por cento) na taxa condominial para os próximos 12 meses;</a:t>
          </a:r>
          <a:endParaRPr lang="pt-BR" sz="1100" b="0" i="0" baseline="0">
            <a:latin typeface="+mn-lt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pt-BR" sz="1100"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+mn-lt"/>
            </a:rPr>
            <a:t>7) Lembramos que o reajuste aplicado incidirá também sobre o valor arrecadado para o Fundo de Reserva.</a:t>
          </a: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t-BR" sz="1100" b="0" i="0" baseline="0">
              <a:latin typeface="+mn-lt"/>
              <a:ea typeface="+mn-ea"/>
              <a:cs typeface="+mn-cs"/>
            </a:rPr>
            <a:t>8) </a:t>
          </a:r>
          <a:r>
            <a:rPr lang="pt-BR" sz="1100" b="1" i="0" u="sng" baseline="0">
              <a:latin typeface="+mn-lt"/>
              <a:ea typeface="+mn-ea"/>
              <a:cs typeface="+mn-cs"/>
            </a:rPr>
            <a:t>ATENÇÃO/IMPORTANTE</a:t>
          </a:r>
          <a:r>
            <a:rPr lang="pt-BR" sz="1100" b="0" i="0" baseline="0">
              <a:latin typeface="+mn-lt"/>
              <a:ea typeface="+mn-ea"/>
              <a:cs typeface="+mn-cs"/>
            </a:rPr>
            <a:t>: Sugerimos ainda que para os próximos 12 meses, sejam executadas as seguintes manutenções:  </a:t>
          </a:r>
          <a:r>
            <a:rPr lang="pt-BR" sz="1100" b="0" i="0" u="sng" baseline="0">
              <a:latin typeface="+mn-lt"/>
              <a:ea typeface="+mn-ea"/>
              <a:cs typeface="+mn-cs"/>
            </a:rPr>
            <a:t>Revisão do sistema geral de combate a incêndio (mangueiras, bombas, alarme, etc</a:t>
          </a:r>
          <a:r>
            <a:rPr lang="pt-BR" sz="1100" b="0" i="0" baseline="0">
              <a:latin typeface="+mn-lt"/>
              <a:ea typeface="+mn-ea"/>
              <a:cs typeface="+mn-cs"/>
            </a:rPr>
            <a:t>), limpeza de fossa e caixas de gordura, limpeza de caixas d´água, recarga de extintores, dedetização das áreas comuns e compra de uniforme para o(s) empregados(s), </a:t>
          </a:r>
          <a:r>
            <a:rPr lang="pt-BR" sz="1100" b="1" i="0" u="sng" baseline="0">
              <a:latin typeface="+mn-lt"/>
              <a:ea typeface="+mn-ea"/>
              <a:cs typeface="+mn-cs"/>
            </a:rPr>
            <a:t>conforme determina a Convenção Coletiva de Trabalho da Categoria.</a:t>
          </a: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1264920</xdr:colOff>
      <xdr:row>3</xdr:row>
      <xdr:rowOff>152400</xdr:rowOff>
    </xdr:to>
    <xdr:grpSp>
      <xdr:nvGrpSpPr>
        <xdr:cNvPr id="3760" name="Group 14"/>
        <xdr:cNvGrpSpPr>
          <a:grpSpLocks/>
        </xdr:cNvGrpSpPr>
      </xdr:nvGrpSpPr>
      <xdr:grpSpPr bwMode="auto">
        <a:xfrm>
          <a:off x="0" y="0"/>
          <a:ext cx="2547132" cy="635977"/>
          <a:chOff x="0" y="1"/>
          <a:chExt cx="264" cy="67"/>
        </a:xfrm>
      </xdr:grpSpPr>
      <xdr:pic>
        <xdr:nvPicPr>
          <xdr:cNvPr id="3761" name="Picture 9" descr="Logo Horizontal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2" y="2"/>
            <a:ext cx="237" cy="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3762" name="Rectangle 10"/>
          <xdr:cNvSpPr>
            <a:spLocks noChangeArrowheads="1"/>
          </xdr:cNvSpPr>
        </xdr:nvSpPr>
        <xdr:spPr bwMode="auto">
          <a:xfrm>
            <a:off x="1" y="2"/>
            <a:ext cx="252" cy="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763" name="Rectangle 11"/>
          <xdr:cNvSpPr>
            <a:spLocks noChangeArrowheads="1"/>
          </xdr:cNvSpPr>
        </xdr:nvSpPr>
        <xdr:spPr bwMode="auto">
          <a:xfrm>
            <a:off x="1" y="58"/>
            <a:ext cx="252" cy="1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764" name="Rectangle 12"/>
          <xdr:cNvSpPr>
            <a:spLocks noChangeArrowheads="1"/>
          </xdr:cNvSpPr>
        </xdr:nvSpPr>
        <xdr:spPr bwMode="auto">
          <a:xfrm>
            <a:off x="240" y="1"/>
            <a:ext cx="24" cy="6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765" name="Rectangle 13"/>
          <xdr:cNvSpPr>
            <a:spLocks noChangeArrowheads="1"/>
          </xdr:cNvSpPr>
        </xdr:nvSpPr>
        <xdr:spPr bwMode="auto">
          <a:xfrm>
            <a:off x="0" y="1"/>
            <a:ext cx="24" cy="6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753600" cy="669798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0</xdr:rowOff>
    </xdr:from>
    <xdr:to>
      <xdr:col>2</xdr:col>
      <xdr:colOff>1409700</xdr:colOff>
      <xdr:row>3</xdr:row>
      <xdr:rowOff>38100</xdr:rowOff>
    </xdr:to>
    <xdr:pic>
      <xdr:nvPicPr>
        <xdr:cNvPr id="6150" name="Picture 6" descr="Logo pouca bord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0"/>
          <a:ext cx="219075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121140" cy="656844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sin0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sSin02.rpt"/>
    </sheetNames>
    <sheetDataSet>
      <sheetData sheetId="0">
        <row r="3">
          <cell r="F3" t="str">
            <v>V.H.R. EMPREENDIMENTOS IMOBILIARIOS LTDA</v>
          </cell>
        </row>
        <row r="6">
          <cell r="F6" t="str">
            <v>SINTÉTICO DE DESPESAS</v>
          </cell>
          <cell r="G6">
            <v>46184</v>
          </cell>
        </row>
        <row r="9">
          <cell r="F9" t="str">
            <v>CONDOMINIO RESIDENCIAL BARRAMARES XX</v>
          </cell>
        </row>
        <row r="11">
          <cell r="A11" t="str">
            <v xml:space="preserve">   Data Pgto: 01/06/2025 a 31/05/2026   Situação: baixadas</v>
          </cell>
        </row>
        <row r="13">
          <cell r="C13" t="str">
            <v>Grupo  / Classe da Conta</v>
          </cell>
          <cell r="F13" t="str">
            <v>Valor Lcto</v>
          </cell>
          <cell r="G13" t="str">
            <v>Juros</v>
          </cell>
          <cell r="H13" t="str">
            <v>Multa</v>
          </cell>
        </row>
        <row r="15">
          <cell r="A15" t="str">
            <v>Despesas com Pessoal</v>
          </cell>
        </row>
        <row r="16">
          <cell r="A16" t="str">
            <v>Salário Empregado(s)</v>
          </cell>
          <cell r="F16">
            <v>28300.55</v>
          </cell>
          <cell r="G16">
            <v>0</v>
          </cell>
          <cell r="H16">
            <v>0</v>
          </cell>
        </row>
        <row r="18">
          <cell r="A18" t="str">
            <v>INSS/IRRF/Pis/Cofins/CSLL</v>
          </cell>
          <cell r="F18">
            <v>11463.07</v>
          </cell>
          <cell r="G18">
            <v>0</v>
          </cell>
          <cell r="H18">
            <v>0</v>
          </cell>
        </row>
        <row r="20">
          <cell r="A20" t="str">
            <v>INSS S/13. Salário</v>
          </cell>
          <cell r="F20">
            <v>887.14</v>
          </cell>
          <cell r="G20">
            <v>0</v>
          </cell>
          <cell r="H20">
            <v>0</v>
          </cell>
        </row>
        <row r="22">
          <cell r="A22" t="str">
            <v>Consult., Medicina e Seg. do Trabalho</v>
          </cell>
          <cell r="F22">
            <v>651</v>
          </cell>
          <cell r="G22">
            <v>0</v>
          </cell>
          <cell r="H22">
            <v>0</v>
          </cell>
        </row>
        <row r="24">
          <cell r="A24" t="str">
            <v>13º Salário Empregado(s)</v>
          </cell>
          <cell r="F24">
            <v>2356</v>
          </cell>
          <cell r="G24">
            <v>0</v>
          </cell>
          <cell r="H24">
            <v>0</v>
          </cell>
        </row>
        <row r="26">
          <cell r="A26" t="str">
            <v>FGTS</v>
          </cell>
          <cell r="F26">
            <v>2713.63</v>
          </cell>
          <cell r="G26">
            <v>0</v>
          </cell>
          <cell r="H26">
            <v>0</v>
          </cell>
        </row>
        <row r="28">
          <cell r="A28" t="str">
            <v>Férias Empregado(s)</v>
          </cell>
          <cell r="F28">
            <v>3231.94</v>
          </cell>
          <cell r="G28">
            <v>0</v>
          </cell>
          <cell r="H28">
            <v>0</v>
          </cell>
        </row>
        <row r="30">
          <cell r="A30" t="str">
            <v>Contribuição Assistencial - Empregado</v>
          </cell>
          <cell r="F30">
            <v>65.099999999999994</v>
          </cell>
          <cell r="G30">
            <v>0</v>
          </cell>
          <cell r="H30">
            <v>0</v>
          </cell>
        </row>
        <row r="32">
          <cell r="A32" t="str">
            <v>Plano de Assistência e Cuidado Pessoal</v>
          </cell>
          <cell r="F32">
            <v>378.8</v>
          </cell>
          <cell r="G32">
            <v>0</v>
          </cell>
          <cell r="H32">
            <v>0</v>
          </cell>
        </row>
        <row r="34">
          <cell r="A34" t="str">
            <v>Outros</v>
          </cell>
          <cell r="F34">
            <v>633</v>
          </cell>
          <cell r="G34">
            <v>0</v>
          </cell>
          <cell r="H34">
            <v>0</v>
          </cell>
        </row>
        <row r="36">
          <cell r="E36" t="str">
            <v>Total:</v>
          </cell>
          <cell r="F36">
            <v>50680.23</v>
          </cell>
          <cell r="G36">
            <v>0</v>
          </cell>
          <cell r="H36">
            <v>0</v>
          </cell>
        </row>
        <row r="38">
          <cell r="A38" t="str">
            <v>Tarifas Públicas</v>
          </cell>
        </row>
        <row r="39">
          <cell r="A39" t="str">
            <v>Luz do Condomínio</v>
          </cell>
          <cell r="F39">
            <v>9700.19</v>
          </cell>
          <cell r="G39">
            <v>0</v>
          </cell>
          <cell r="H39">
            <v>0</v>
          </cell>
        </row>
        <row r="41">
          <cell r="A41" t="str">
            <v>Água do Condomínio</v>
          </cell>
          <cell r="F41">
            <v>59303.199999999997</v>
          </cell>
          <cell r="G41">
            <v>0</v>
          </cell>
          <cell r="H41">
            <v>0</v>
          </cell>
        </row>
        <row r="43">
          <cell r="E43" t="str">
            <v>Total:</v>
          </cell>
          <cell r="F43">
            <v>69003.39</v>
          </cell>
          <cell r="G43">
            <v>0</v>
          </cell>
          <cell r="H43">
            <v>0</v>
          </cell>
        </row>
        <row r="45">
          <cell r="A45" t="str">
            <v>Conservação</v>
          </cell>
        </row>
        <row r="46">
          <cell r="A46" t="str">
            <v>Manutenção Elétrica</v>
          </cell>
          <cell r="F46">
            <v>1025.28</v>
          </cell>
          <cell r="G46">
            <v>0</v>
          </cell>
          <cell r="H46">
            <v>0</v>
          </cell>
        </row>
        <row r="48">
          <cell r="A48" t="str">
            <v>Outros Materiais</v>
          </cell>
          <cell r="F48">
            <v>1575.32</v>
          </cell>
          <cell r="G48">
            <v>0</v>
          </cell>
          <cell r="H48">
            <v>0</v>
          </cell>
        </row>
        <row r="50">
          <cell r="A50" t="str">
            <v>Dedetização/Descupinização</v>
          </cell>
          <cell r="F50">
            <v>400</v>
          </cell>
          <cell r="G50">
            <v>0</v>
          </cell>
          <cell r="H50">
            <v>0</v>
          </cell>
        </row>
        <row r="52">
          <cell r="A52" t="str">
            <v>Material de Limpeza</v>
          </cell>
          <cell r="F52">
            <v>2649.6</v>
          </cell>
          <cell r="G52">
            <v>0</v>
          </cell>
          <cell r="H52">
            <v>0</v>
          </cell>
        </row>
        <row r="54">
          <cell r="A54" t="str">
            <v>Manutenção Portão</v>
          </cell>
          <cell r="F54">
            <v>1140</v>
          </cell>
          <cell r="G54">
            <v>0</v>
          </cell>
          <cell r="H54">
            <v>0</v>
          </cell>
        </row>
        <row r="56">
          <cell r="A56" t="str">
            <v>Manutenção Piscina/E.T.A.</v>
          </cell>
          <cell r="F56">
            <v>1732</v>
          </cell>
          <cell r="G56">
            <v>0</v>
          </cell>
          <cell r="H56">
            <v>0</v>
          </cell>
        </row>
        <row r="58">
          <cell r="A58" t="str">
            <v>Manut. Extintores e/ou Teste mangueira</v>
          </cell>
          <cell r="F58">
            <v>410.5</v>
          </cell>
          <cell r="G58">
            <v>0</v>
          </cell>
          <cell r="H58">
            <v>0</v>
          </cell>
        </row>
        <row r="60">
          <cell r="A60" t="str">
            <v>Limpeza de Fossa e/ou Caixa de Gordura</v>
          </cell>
          <cell r="F60">
            <v>2250</v>
          </cell>
          <cell r="G60">
            <v>0</v>
          </cell>
          <cell r="H60">
            <v>0</v>
          </cell>
        </row>
        <row r="62">
          <cell r="A62" t="str">
            <v>Limpeza Caixa D`água</v>
          </cell>
          <cell r="F62">
            <v>2965.83</v>
          </cell>
          <cell r="G62">
            <v>0</v>
          </cell>
          <cell r="H62">
            <v>0</v>
          </cell>
        </row>
        <row r="64">
          <cell r="E64" t="str">
            <v>Total:</v>
          </cell>
          <cell r="F64">
            <v>14148.53</v>
          </cell>
          <cell r="G64">
            <v>0</v>
          </cell>
          <cell r="H64">
            <v>0</v>
          </cell>
        </row>
        <row r="66">
          <cell r="A66" t="str">
            <v>Tarifas Bancárias.</v>
          </cell>
        </row>
        <row r="67">
          <cell r="A67" t="str">
            <v>Tarifas Bancárias</v>
          </cell>
          <cell r="F67">
            <v>1013.92</v>
          </cell>
          <cell r="G67">
            <v>0</v>
          </cell>
          <cell r="H67">
            <v>0</v>
          </cell>
        </row>
        <row r="69">
          <cell r="E69" t="str">
            <v>Total:</v>
          </cell>
          <cell r="F69">
            <v>1013.92</v>
          </cell>
          <cell r="G69">
            <v>0</v>
          </cell>
          <cell r="H69">
            <v>0</v>
          </cell>
        </row>
        <row r="71">
          <cell r="A71" t="str">
            <v>Despesas Diversas</v>
          </cell>
        </row>
        <row r="72">
          <cell r="A72" t="str">
            <v>Manutenção de gás</v>
          </cell>
          <cell r="F72">
            <v>4350</v>
          </cell>
          <cell r="G72">
            <v>0</v>
          </cell>
          <cell r="H72">
            <v>0</v>
          </cell>
        </row>
        <row r="74">
          <cell r="A74" t="str">
            <v>Reparo no Elevador</v>
          </cell>
          <cell r="F74">
            <v>19779.37</v>
          </cell>
          <cell r="G74">
            <v>0</v>
          </cell>
          <cell r="H74">
            <v>0</v>
          </cell>
        </row>
        <row r="76">
          <cell r="A76" t="str">
            <v>Seguro Incêndio</v>
          </cell>
          <cell r="F76">
            <v>4566.3900000000003</v>
          </cell>
          <cell r="G76">
            <v>0</v>
          </cell>
          <cell r="H76">
            <v>0</v>
          </cell>
        </row>
        <row r="78">
          <cell r="A78" t="str">
            <v>Conserto de Bomba</v>
          </cell>
          <cell r="F78">
            <v>385</v>
          </cell>
          <cell r="G78">
            <v>0</v>
          </cell>
          <cell r="H78">
            <v>0</v>
          </cell>
        </row>
        <row r="80">
          <cell r="A80" t="str">
            <v>Outras Despesas</v>
          </cell>
          <cell r="F80">
            <v>3255.42</v>
          </cell>
          <cell r="G80">
            <v>0</v>
          </cell>
          <cell r="H80">
            <v>0</v>
          </cell>
        </row>
        <row r="82">
          <cell r="E82" t="str">
            <v>Total:</v>
          </cell>
          <cell r="F82">
            <v>32336.18</v>
          </cell>
          <cell r="G82">
            <v>0</v>
          </cell>
          <cell r="H82">
            <v>0</v>
          </cell>
        </row>
        <row r="84">
          <cell r="A84" t="str">
            <v>Contratos</v>
          </cell>
        </row>
        <row r="85">
          <cell r="A85" t="str">
            <v>Contrato de Manutenção do Elevador</v>
          </cell>
          <cell r="F85">
            <v>10428.49</v>
          </cell>
          <cell r="G85">
            <v>0</v>
          </cell>
          <cell r="H85">
            <v>0</v>
          </cell>
        </row>
        <row r="87">
          <cell r="A87" t="str">
            <v>Contrato</v>
          </cell>
          <cell r="F87">
            <v>5012.6000000000004</v>
          </cell>
          <cell r="G87">
            <v>0</v>
          </cell>
          <cell r="H87">
            <v>0</v>
          </cell>
        </row>
        <row r="89">
          <cell r="A89" t="str">
            <v>Contrato Prestação Serviço Administração</v>
          </cell>
          <cell r="F89">
            <v>16179.1</v>
          </cell>
          <cell r="G89">
            <v>0</v>
          </cell>
          <cell r="H89">
            <v>0</v>
          </cell>
        </row>
        <row r="91">
          <cell r="E91" t="str">
            <v>Total:</v>
          </cell>
          <cell r="F91">
            <v>31620.19</v>
          </cell>
          <cell r="G91">
            <v>0</v>
          </cell>
          <cell r="H91">
            <v>0</v>
          </cell>
        </row>
        <row r="93">
          <cell r="A93" t="str">
            <v>Despesas Cartoriais e Honorários</v>
          </cell>
        </row>
        <row r="94">
          <cell r="A94" t="str">
            <v>Despesas Cartório</v>
          </cell>
          <cell r="F94">
            <v>436.71</v>
          </cell>
          <cell r="G94">
            <v>0</v>
          </cell>
          <cell r="H94">
            <v>0</v>
          </cell>
        </row>
        <row r="96">
          <cell r="E96" t="str">
            <v>Total:</v>
          </cell>
          <cell r="F96">
            <v>436.71</v>
          </cell>
          <cell r="G96">
            <v>0</v>
          </cell>
          <cell r="H96">
            <v>0</v>
          </cell>
        </row>
        <row r="98">
          <cell r="A98" t="str">
            <v>Despesas com Obras/Benfeitorias</v>
          </cell>
        </row>
        <row r="99">
          <cell r="A99" t="str">
            <v>Despesas com Benfeitorias</v>
          </cell>
          <cell r="F99">
            <v>2459.29</v>
          </cell>
          <cell r="G99">
            <v>0</v>
          </cell>
          <cell r="H99">
            <v>0</v>
          </cell>
        </row>
        <row r="101">
          <cell r="E101" t="str">
            <v>Total:</v>
          </cell>
          <cell r="F101">
            <v>2459.29</v>
          </cell>
          <cell r="G101">
            <v>0</v>
          </cell>
          <cell r="H101">
            <v>0</v>
          </cell>
        </row>
        <row r="103">
          <cell r="A103" t="str">
            <v>Despesas Administrativas</v>
          </cell>
        </row>
        <row r="104">
          <cell r="A104" t="str">
            <v>Xerox</v>
          </cell>
          <cell r="F104">
            <v>2.75</v>
          </cell>
          <cell r="G104">
            <v>0</v>
          </cell>
          <cell r="H104">
            <v>0</v>
          </cell>
        </row>
        <row r="106">
          <cell r="A106" t="str">
            <v>Material de Expediente</v>
          </cell>
          <cell r="F106">
            <v>932.4</v>
          </cell>
          <cell r="G106">
            <v>0</v>
          </cell>
          <cell r="H106">
            <v>0</v>
          </cell>
        </row>
        <row r="108">
          <cell r="A108" t="str">
            <v>13º Taxa de Administração</v>
          </cell>
          <cell r="F108">
            <v>1343.55</v>
          </cell>
          <cell r="G108">
            <v>0</v>
          </cell>
          <cell r="H108">
            <v>0</v>
          </cell>
        </row>
        <row r="110">
          <cell r="E110" t="str">
            <v>Total:</v>
          </cell>
          <cell r="F110">
            <v>2278.6999999999998</v>
          </cell>
          <cell r="G110">
            <v>0</v>
          </cell>
          <cell r="H110">
            <v>0</v>
          </cell>
        </row>
        <row r="112">
          <cell r="A112" t="str">
            <v>Reembolso/Pró-labore ao Síndico</v>
          </cell>
        </row>
        <row r="113">
          <cell r="A113" t="str">
            <v>Pró-labore do Síndico</v>
          </cell>
          <cell r="F113">
            <v>10199.799999999999</v>
          </cell>
          <cell r="G113">
            <v>0</v>
          </cell>
          <cell r="H113">
            <v>0</v>
          </cell>
        </row>
        <row r="115">
          <cell r="E115" t="str">
            <v>Total:</v>
          </cell>
          <cell r="F115">
            <v>10199.799999999999</v>
          </cell>
          <cell r="G115">
            <v>0</v>
          </cell>
          <cell r="H115">
            <v>0</v>
          </cell>
        </row>
        <row r="117">
          <cell r="E117" t="str">
            <v>Total Geral:</v>
          </cell>
          <cell r="F117">
            <v>214176.94</v>
          </cell>
          <cell r="G117">
            <v>0</v>
          </cell>
          <cell r="H117">
            <v>0</v>
          </cell>
        </row>
        <row r="119">
          <cell r="A119" t="str">
            <v>Condomínio21 Corporate  (SQL Server)  - Group Software - 45.92/2.6.82.31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K321"/>
  <sheetViews>
    <sheetView topLeftCell="B267" zoomScale="130" zoomScaleNormal="130" workbookViewId="0">
      <selection activeCell="E198" sqref="E198"/>
    </sheetView>
  </sheetViews>
  <sheetFormatPr defaultColWidth="9.140625" defaultRowHeight="12.75"/>
  <cols>
    <col min="1" max="1" width="9.140625" style="2" hidden="1" customWidth="1"/>
    <col min="2" max="2" width="4.85546875" style="2" bestFit="1" customWidth="1"/>
    <col min="3" max="3" width="46.5703125" style="2" customWidth="1"/>
    <col min="4" max="4" width="12.85546875" style="2" customWidth="1"/>
    <col min="5" max="5" width="13" style="2" customWidth="1"/>
    <col min="6" max="8" width="9.140625" style="2"/>
    <col min="9" max="9" width="13.140625" style="2" customWidth="1"/>
    <col min="10" max="10" width="9.140625" style="2"/>
    <col min="11" max="11" width="38.42578125" style="2" customWidth="1"/>
    <col min="12" max="16384" width="9.140625" style="2"/>
  </cols>
  <sheetData>
    <row r="1" spans="1:9" ht="19.5">
      <c r="C1" s="183" t="s">
        <v>234</v>
      </c>
      <c r="D1" s="183"/>
      <c r="E1" s="9"/>
      <c r="F1" s="9"/>
      <c r="G1" s="9"/>
      <c r="H1" s="9"/>
    </row>
    <row r="2" spans="1:9" ht="13.5" thickBot="1">
      <c r="D2" s="3"/>
      <c r="E2" s="2" t="s">
        <v>526</v>
      </c>
      <c r="F2" s="2" t="s">
        <v>527</v>
      </c>
    </row>
    <row r="3" spans="1:9" ht="17.25" thickTop="1" thickBot="1">
      <c r="C3" s="66" t="s">
        <v>233</v>
      </c>
      <c r="D3" s="67">
        <f>SUM(I64:I270)/2</f>
        <v>191990.22000000003</v>
      </c>
      <c r="E3" s="107">
        <f>+[1]DesSin02.rpt!$F$135</f>
        <v>0</v>
      </c>
      <c r="F3" s="107">
        <f>+E3-D3</f>
        <v>-191990.22000000003</v>
      </c>
      <c r="G3" s="2" t="s">
        <v>528</v>
      </c>
    </row>
    <row r="4" spans="1:9" ht="17.25" thickTop="1" thickBot="1">
      <c r="C4" s="66" t="s">
        <v>239</v>
      </c>
      <c r="D4" s="72">
        <f>+SUM(I101:I103,I105,I106)+I131+SUM(I140:I142)+I150+I153+I154+I159+I160+I164+I166+I168+I169+I216+I220+I226+I230+I243+I250+I257</f>
        <v>2459.29</v>
      </c>
    </row>
    <row r="5" spans="1:9" ht="21" thickTop="1" thickBot="1">
      <c r="C5" s="65" t="s">
        <v>235</v>
      </c>
      <c r="D5" s="68">
        <f>D3-D4</f>
        <v>189530.93000000002</v>
      </c>
    </row>
    <row r="6" spans="1:9" ht="14.25" thickTop="1" thickBot="1">
      <c r="D6" s="69"/>
    </row>
    <row r="7" spans="1:9" ht="21" thickTop="1" thickBot="1">
      <c r="C7" s="65" t="s">
        <v>236</v>
      </c>
      <c r="D7" s="68">
        <f>' P R E V I S Ã O '!D48</f>
        <v>189530.93000000002</v>
      </c>
      <c r="E7" s="107"/>
      <c r="I7" s="107"/>
    </row>
    <row r="8" spans="1:9" ht="13.5" thickTop="1"/>
    <row r="10" spans="1:9">
      <c r="D10" s="2">
        <v>0</v>
      </c>
    </row>
    <row r="11" spans="1:9">
      <c r="A11" s="2">
        <v>1</v>
      </c>
      <c r="B11" s="29" t="s">
        <v>0</v>
      </c>
      <c r="C11" s="30" t="s">
        <v>1</v>
      </c>
    </row>
    <row r="12" spans="1:9" ht="16.5">
      <c r="A12" s="31" t="s">
        <v>2</v>
      </c>
      <c r="B12" s="70"/>
      <c r="C12" s="70" t="s">
        <v>413</v>
      </c>
      <c r="D12" s="34">
        <f>SUM(D13:D62)</f>
        <v>19787.86</v>
      </c>
    </row>
    <row r="13" spans="1:9" ht="9.9499999999999993" customHeight="1">
      <c r="A13" s="31"/>
      <c r="B13" s="32"/>
      <c r="C13" s="33"/>
      <c r="D13" s="34"/>
    </row>
    <row r="14" spans="1:9" ht="14.45" customHeight="1">
      <c r="B14" s="35" t="s">
        <v>3</v>
      </c>
      <c r="C14" s="36" t="s">
        <v>4</v>
      </c>
      <c r="D14" s="50">
        <v>0</v>
      </c>
      <c r="F14" s="174"/>
    </row>
    <row r="15" spans="1:9" ht="14.45" customHeight="1">
      <c r="B15" s="35" t="s">
        <v>5</v>
      </c>
      <c r="C15" s="36" t="s">
        <v>6</v>
      </c>
      <c r="D15" s="51">
        <v>15446.72</v>
      </c>
      <c r="E15" s="38"/>
      <c r="F15" s="174"/>
    </row>
    <row r="16" spans="1:9" ht="14.45" customHeight="1">
      <c r="B16" s="35" t="s">
        <v>7</v>
      </c>
      <c r="C16" s="36" t="s">
        <v>304</v>
      </c>
      <c r="D16" s="51">
        <v>1544.56</v>
      </c>
      <c r="E16" s="38"/>
      <c r="F16" s="174"/>
    </row>
    <row r="17" spans="2:6" ht="14.45" customHeight="1">
      <c r="B17" s="35" t="s">
        <v>8</v>
      </c>
      <c r="C17" s="36" t="s">
        <v>9</v>
      </c>
      <c r="D17" s="51"/>
      <c r="F17" s="174"/>
    </row>
    <row r="18" spans="2:6" ht="14.45" customHeight="1">
      <c r="B18" s="35" t="s">
        <v>10</v>
      </c>
      <c r="C18" s="36" t="s">
        <v>11</v>
      </c>
      <c r="D18" s="50"/>
      <c r="F18" s="174"/>
    </row>
    <row r="19" spans="2:6" ht="14.45" customHeight="1">
      <c r="B19" s="35" t="s">
        <v>12</v>
      </c>
      <c r="C19" s="36" t="s">
        <v>13</v>
      </c>
      <c r="D19" s="50"/>
      <c r="F19" s="174"/>
    </row>
    <row r="20" spans="2:6" ht="14.45" customHeight="1">
      <c r="B20" s="35" t="s">
        <v>14</v>
      </c>
      <c r="C20" s="36" t="s">
        <v>15</v>
      </c>
      <c r="D20" s="121"/>
      <c r="F20" s="174"/>
    </row>
    <row r="21" spans="2:6" ht="14.45" customHeight="1">
      <c r="B21" s="35" t="s">
        <v>16</v>
      </c>
      <c r="C21" s="36" t="s">
        <v>17</v>
      </c>
      <c r="D21" s="50"/>
      <c r="F21" s="174"/>
    </row>
    <row r="22" spans="2:6" ht="14.45" customHeight="1">
      <c r="B22" s="35" t="s">
        <v>18</v>
      </c>
      <c r="C22" s="36" t="s">
        <v>19</v>
      </c>
      <c r="D22" s="51"/>
      <c r="F22" s="174"/>
    </row>
    <row r="23" spans="2:6" ht="14.45" customHeight="1">
      <c r="B23" s="35" t="s">
        <v>20</v>
      </c>
      <c r="C23" s="36" t="s">
        <v>21</v>
      </c>
      <c r="D23" s="50"/>
      <c r="F23" s="174"/>
    </row>
    <row r="24" spans="2:6" ht="14.45" customHeight="1">
      <c r="B24" s="35" t="s">
        <v>22</v>
      </c>
      <c r="C24" s="36" t="s">
        <v>23</v>
      </c>
      <c r="D24" s="51"/>
      <c r="F24" s="174"/>
    </row>
    <row r="25" spans="2:6" ht="14.45" customHeight="1">
      <c r="B25" s="35" t="s">
        <v>24</v>
      </c>
      <c r="C25" s="36" t="s">
        <v>25</v>
      </c>
      <c r="D25" s="50"/>
      <c r="F25" s="174"/>
    </row>
    <row r="26" spans="2:6" ht="14.45" customHeight="1">
      <c r="B26" s="35" t="s">
        <v>26</v>
      </c>
      <c r="C26" s="36" t="s">
        <v>27</v>
      </c>
      <c r="D26" s="50"/>
      <c r="F26" s="174"/>
    </row>
    <row r="27" spans="2:6" ht="14.45" customHeight="1">
      <c r="B27" s="35" t="s">
        <v>28</v>
      </c>
      <c r="C27" s="36" t="s">
        <v>29</v>
      </c>
      <c r="D27" s="50"/>
      <c r="F27" s="174"/>
    </row>
    <row r="28" spans="2:6" ht="14.45" customHeight="1">
      <c r="B28" s="35" t="s">
        <v>30</v>
      </c>
      <c r="C28" s="36" t="s">
        <v>31</v>
      </c>
      <c r="D28" s="50"/>
      <c r="F28" s="174"/>
    </row>
    <row r="29" spans="2:6" ht="14.45" customHeight="1">
      <c r="B29" s="35" t="s">
        <v>32</v>
      </c>
      <c r="C29" s="36" t="s">
        <v>33</v>
      </c>
      <c r="D29" s="50"/>
      <c r="F29" s="174"/>
    </row>
    <row r="30" spans="2:6" ht="14.45" customHeight="1">
      <c r="B30" s="35" t="s">
        <v>34</v>
      </c>
      <c r="C30" s="36" t="s">
        <v>35</v>
      </c>
      <c r="D30" s="50"/>
      <c r="F30" s="174"/>
    </row>
    <row r="31" spans="2:6" ht="14.45" customHeight="1">
      <c r="B31" s="35" t="s">
        <v>36</v>
      </c>
      <c r="C31" s="36" t="s">
        <v>37</v>
      </c>
      <c r="D31" s="50"/>
      <c r="F31" s="174"/>
    </row>
    <row r="32" spans="2:6" ht="14.45" customHeight="1">
      <c r="B32" s="35" t="s">
        <v>38</v>
      </c>
      <c r="C32" s="36" t="s">
        <v>39</v>
      </c>
      <c r="D32" s="50"/>
      <c r="F32" s="174"/>
    </row>
    <row r="33" spans="2:6" ht="14.45" customHeight="1">
      <c r="B33" s="35" t="s">
        <v>40</v>
      </c>
      <c r="C33" s="36" t="s">
        <v>41</v>
      </c>
      <c r="D33" s="50"/>
      <c r="F33" s="174"/>
    </row>
    <row r="34" spans="2:6" ht="14.45" customHeight="1">
      <c r="B34" s="35" t="s">
        <v>42</v>
      </c>
      <c r="C34" s="36" t="s">
        <v>43</v>
      </c>
      <c r="D34" s="50"/>
      <c r="F34" s="174"/>
    </row>
    <row r="35" spans="2:6" ht="14.45" customHeight="1">
      <c r="B35" s="35" t="s">
        <v>305</v>
      </c>
      <c r="C35" s="36" t="s">
        <v>306</v>
      </c>
      <c r="D35" s="50"/>
      <c r="F35" s="174"/>
    </row>
    <row r="36" spans="2:6" ht="14.45" customHeight="1">
      <c r="B36" s="35" t="s">
        <v>307</v>
      </c>
      <c r="C36" s="36" t="s">
        <v>308</v>
      </c>
      <c r="D36" s="50"/>
      <c r="F36" s="174"/>
    </row>
    <row r="37" spans="2:6" ht="14.45" customHeight="1">
      <c r="B37" s="35" t="s">
        <v>309</v>
      </c>
      <c r="C37" s="36" t="s">
        <v>310</v>
      </c>
      <c r="D37" s="50"/>
      <c r="F37" s="174"/>
    </row>
    <row r="38" spans="2:6" ht="14.45" customHeight="1">
      <c r="B38" s="35" t="s">
        <v>311</v>
      </c>
      <c r="C38" s="36" t="s">
        <v>174</v>
      </c>
      <c r="D38" s="50"/>
      <c r="F38" s="174"/>
    </row>
    <row r="39" spans="2:6" ht="14.45" customHeight="1">
      <c r="B39" s="35" t="s">
        <v>312</v>
      </c>
      <c r="C39" s="36" t="s">
        <v>313</v>
      </c>
      <c r="D39" s="50"/>
      <c r="F39" s="174"/>
    </row>
    <row r="40" spans="2:6" ht="14.45" customHeight="1">
      <c r="B40" s="35" t="s">
        <v>314</v>
      </c>
      <c r="C40" s="36" t="s">
        <v>315</v>
      </c>
      <c r="D40" s="50"/>
      <c r="F40" s="174"/>
    </row>
    <row r="41" spans="2:6" ht="14.45" customHeight="1">
      <c r="B41" s="35" t="s">
        <v>316</v>
      </c>
      <c r="C41" s="36" t="s">
        <v>317</v>
      </c>
      <c r="D41" s="121"/>
      <c r="F41" s="174"/>
    </row>
    <row r="42" spans="2:6" ht="14.45" customHeight="1">
      <c r="B42" s="35" t="s">
        <v>318</v>
      </c>
      <c r="C42" s="36" t="s">
        <v>319</v>
      </c>
      <c r="D42" s="50"/>
      <c r="F42" s="174"/>
    </row>
    <row r="43" spans="2:6" ht="14.45" customHeight="1">
      <c r="B43" s="35" t="s">
        <v>320</v>
      </c>
      <c r="C43" s="36" t="s">
        <v>321</v>
      </c>
      <c r="D43" s="50"/>
      <c r="F43" s="174"/>
    </row>
    <row r="44" spans="2:6" ht="14.45" customHeight="1">
      <c r="B44" s="35" t="s">
        <v>322</v>
      </c>
      <c r="C44" s="36" t="s">
        <v>323</v>
      </c>
      <c r="D44" s="50"/>
      <c r="F44" s="174"/>
    </row>
    <row r="45" spans="2:6" ht="14.45" customHeight="1">
      <c r="B45" s="35" t="s">
        <v>355</v>
      </c>
      <c r="C45" s="36" t="s">
        <v>363</v>
      </c>
      <c r="D45" s="50"/>
      <c r="F45" s="174"/>
    </row>
    <row r="46" spans="2:6" ht="14.45" customHeight="1">
      <c r="B46" s="35" t="s">
        <v>356</v>
      </c>
      <c r="C46" s="36" t="s">
        <v>364</v>
      </c>
      <c r="D46" s="50"/>
      <c r="F46" s="174"/>
    </row>
    <row r="47" spans="2:6" ht="14.45" customHeight="1">
      <c r="B47" s="35" t="s">
        <v>357</v>
      </c>
      <c r="C47" s="36" t="s">
        <v>365</v>
      </c>
      <c r="D47" s="50"/>
      <c r="F47" s="174"/>
    </row>
    <row r="48" spans="2:6" ht="14.45" customHeight="1">
      <c r="B48" s="35" t="s">
        <v>358</v>
      </c>
      <c r="C48" s="36" t="s">
        <v>366</v>
      </c>
      <c r="D48" s="50"/>
      <c r="F48" s="174"/>
    </row>
    <row r="49" spans="1:11" ht="14.45" customHeight="1">
      <c r="B49" s="35" t="s">
        <v>359</v>
      </c>
      <c r="C49" s="36" t="s">
        <v>367</v>
      </c>
      <c r="D49" s="51">
        <v>2796.58</v>
      </c>
      <c r="F49" s="174"/>
    </row>
    <row r="50" spans="1:11" ht="14.45" customHeight="1">
      <c r="B50" s="35" t="s">
        <v>360</v>
      </c>
      <c r="C50" s="36" t="s">
        <v>368</v>
      </c>
      <c r="D50" s="50"/>
      <c r="F50" s="174"/>
    </row>
    <row r="51" spans="1:11" ht="14.45" customHeight="1">
      <c r="B51" s="35" t="s">
        <v>361</v>
      </c>
      <c r="C51" s="36" t="s">
        <v>369</v>
      </c>
      <c r="D51" s="50"/>
      <c r="F51" s="174"/>
    </row>
    <row r="52" spans="1:11" ht="14.45" customHeight="1">
      <c r="B52" s="35" t="s">
        <v>362</v>
      </c>
      <c r="C52" s="36" t="s">
        <v>370</v>
      </c>
      <c r="D52" s="50"/>
      <c r="F52" s="174"/>
    </row>
    <row r="53" spans="1:11" ht="14.45" customHeight="1">
      <c r="B53" s="174" t="s">
        <v>487</v>
      </c>
      <c r="C53" s="174" t="s">
        <v>492</v>
      </c>
      <c r="D53" s="50"/>
      <c r="F53" s="174"/>
    </row>
    <row r="54" spans="1:11" ht="14.45" customHeight="1">
      <c r="B54" s="174" t="s">
        <v>488</v>
      </c>
      <c r="C54" s="174" t="s">
        <v>493</v>
      </c>
      <c r="D54" s="50"/>
      <c r="F54" s="174"/>
    </row>
    <row r="55" spans="1:11" ht="14.45" customHeight="1">
      <c r="B55" s="174" t="s">
        <v>489</v>
      </c>
      <c r="C55" s="174" t="s">
        <v>494</v>
      </c>
      <c r="D55" s="50"/>
      <c r="F55" s="174"/>
    </row>
    <row r="56" spans="1:11" ht="14.45" customHeight="1">
      <c r="B56" s="174" t="s">
        <v>490</v>
      </c>
      <c r="C56" s="174" t="s">
        <v>495</v>
      </c>
      <c r="D56" s="50"/>
      <c r="F56" s="174"/>
    </row>
    <row r="57" spans="1:11" ht="14.45" customHeight="1">
      <c r="B57" s="174" t="s">
        <v>491</v>
      </c>
      <c r="C57" s="174" t="s">
        <v>496</v>
      </c>
      <c r="D57" s="50"/>
      <c r="F57" s="174"/>
    </row>
    <row r="58" spans="1:11" ht="14.45" customHeight="1">
      <c r="B58" s="174" t="s">
        <v>534</v>
      </c>
      <c r="C58" s="174" t="s">
        <v>538</v>
      </c>
      <c r="D58" s="50"/>
      <c r="F58" s="174"/>
    </row>
    <row r="59" spans="1:11" ht="14.45" customHeight="1">
      <c r="B59" s="174" t="s">
        <v>535</v>
      </c>
      <c r="C59" s="174" t="s">
        <v>539</v>
      </c>
      <c r="D59" s="50"/>
      <c r="F59" s="174"/>
    </row>
    <row r="60" spans="1:11" ht="14.45" customHeight="1">
      <c r="B60" s="174" t="s">
        <v>537</v>
      </c>
      <c r="C60" s="174" t="s">
        <v>540</v>
      </c>
      <c r="D60" s="50"/>
      <c r="F60" s="174"/>
    </row>
    <row r="61" spans="1:11" ht="14.45" customHeight="1">
      <c r="B61" s="174" t="s">
        <v>536</v>
      </c>
      <c r="C61" s="174" t="s">
        <v>541</v>
      </c>
      <c r="D61" s="50"/>
      <c r="F61" s="174"/>
    </row>
    <row r="62" spans="1:11" ht="14.45" customHeight="1">
      <c r="B62" s="35" t="s">
        <v>324</v>
      </c>
      <c r="C62" s="36" t="s">
        <v>325</v>
      </c>
      <c r="D62" s="50"/>
      <c r="F62" s="174"/>
    </row>
    <row r="63" spans="1:11" ht="14.45" customHeight="1">
      <c r="B63" s="35"/>
      <c r="C63" s="36"/>
      <c r="D63" s="37"/>
      <c r="F63" s="174"/>
    </row>
    <row r="64" spans="1:11" ht="16.5">
      <c r="A64" s="31" t="s">
        <v>44</v>
      </c>
      <c r="B64" s="32"/>
      <c r="C64" s="32" t="s">
        <v>45</v>
      </c>
      <c r="D64" s="40">
        <f>SUM(D66:D93)</f>
        <v>50680.229999999996</v>
      </c>
      <c r="F64" s="174"/>
      <c r="I64" s="40">
        <f>SUM(I66:I94)</f>
        <v>50680.229999999996</v>
      </c>
      <c r="K64" s="107"/>
    </row>
    <row r="65" spans="1:9" ht="9.9499999999999993" customHeight="1">
      <c r="A65" s="31"/>
      <c r="B65" s="32"/>
      <c r="C65" s="39"/>
      <c r="D65" s="41"/>
      <c r="F65" s="174"/>
    </row>
    <row r="66" spans="1:9" ht="14.45" customHeight="1">
      <c r="B66" s="105" t="s">
        <v>46</v>
      </c>
      <c r="C66" s="36" t="s">
        <v>47</v>
      </c>
      <c r="D66" s="42">
        <f>IF(ISERROR(VLOOKUP(C66,[1]DesSin02.rpt!$A$1:$H$200,6,FALSE))=TRUE,0,VLOOKUP(C66,[1]DesSin02.rpt!$A$1:$H$200,6,FALSE))</f>
        <v>28300.55</v>
      </c>
      <c r="E66" s="1"/>
      <c r="F66" s="174"/>
      <c r="G66" s="1"/>
      <c r="H66" s="1"/>
      <c r="I66" s="43">
        <f t="shared" ref="I66:I93" si="0">D66-SUM(E66:H66)</f>
        <v>28300.55</v>
      </c>
    </row>
    <row r="67" spans="1:9" ht="14.45" customHeight="1">
      <c r="B67" s="105" t="s">
        <v>48</v>
      </c>
      <c r="C67" s="174" t="s">
        <v>523</v>
      </c>
      <c r="D67" s="42">
        <f>IF(ISERROR(VLOOKUP(C67,[1]DesSin02.rpt!$A$1:$H$200,6,FALSE))=TRUE,0,VLOOKUP(C67,[1]DesSin02.rpt!$A$1:$H$200,6,FALSE))</f>
        <v>11463.07</v>
      </c>
      <c r="E67" s="1"/>
      <c r="F67" s="174"/>
      <c r="G67" s="1"/>
      <c r="H67" s="1"/>
      <c r="I67" s="43">
        <f t="shared" si="0"/>
        <v>11463.07</v>
      </c>
    </row>
    <row r="68" spans="1:9" ht="14.45" customHeight="1">
      <c r="B68" s="105" t="s">
        <v>49</v>
      </c>
      <c r="C68" s="36" t="s">
        <v>50</v>
      </c>
      <c r="D68" s="42">
        <f>IF(ISERROR(VLOOKUP(C68,[1]DesSin02.rpt!$A$1:$H$200,6,FALSE))=TRUE,0,VLOOKUP(C68,[1]DesSin02.rpt!$A$1:$H$200,6,FALSE))</f>
        <v>0</v>
      </c>
      <c r="E68" s="1"/>
      <c r="F68" s="1"/>
      <c r="G68" s="1"/>
      <c r="H68" s="1"/>
      <c r="I68" s="43">
        <f t="shared" si="0"/>
        <v>0</v>
      </c>
    </row>
    <row r="69" spans="1:9" ht="14.45" customHeight="1">
      <c r="B69" s="105" t="s">
        <v>51</v>
      </c>
      <c r="C69" s="36" t="s">
        <v>52</v>
      </c>
      <c r="D69" s="42">
        <f>IF(ISERROR(VLOOKUP(C69,[1]DesSin02.rpt!$A$1:$H$200,6,FALSE))=TRUE,0,VLOOKUP(C69,[1]DesSin02.rpt!$A$1:$H$200,6,FALSE))</f>
        <v>887.14</v>
      </c>
      <c r="E69" s="1"/>
      <c r="F69" s="1"/>
      <c r="G69" s="1"/>
      <c r="H69" s="1"/>
      <c r="I69" s="43">
        <f t="shared" si="0"/>
        <v>887.14</v>
      </c>
    </row>
    <row r="70" spans="1:9" ht="14.45" customHeight="1">
      <c r="B70" s="105" t="s">
        <v>53</v>
      </c>
      <c r="C70" s="36" t="s">
        <v>54</v>
      </c>
      <c r="D70" s="42">
        <f>IF(ISERROR(VLOOKUP(C70,[1]DesSin02.rpt!$A$1:$H$200,6,FALSE))=TRUE,0,VLOOKUP(C70,[1]DesSin02.rpt!$A$1:$H$200,6,FALSE))</f>
        <v>0</v>
      </c>
      <c r="E70" s="1"/>
      <c r="F70" s="1"/>
      <c r="G70" s="1"/>
      <c r="H70" s="1"/>
      <c r="I70" s="43">
        <f t="shared" si="0"/>
        <v>0</v>
      </c>
    </row>
    <row r="71" spans="1:9" ht="14.45" customHeight="1">
      <c r="B71" s="105" t="s">
        <v>55</v>
      </c>
      <c r="C71" s="36" t="s">
        <v>524</v>
      </c>
      <c r="D71" s="42">
        <f>IF(ISERROR(VLOOKUP(C71,[1]DesSin02.rpt!$A$1:$H$200,6,FALSE))=TRUE,0,VLOOKUP(C71,[1]DesSin02.rpt!$A$1:$H$200,6,FALSE))</f>
        <v>651</v>
      </c>
      <c r="E71" s="1"/>
      <c r="F71" s="1"/>
      <c r="G71" s="1"/>
      <c r="H71" s="1"/>
      <c r="I71" s="43">
        <f t="shared" si="0"/>
        <v>651</v>
      </c>
    </row>
    <row r="72" spans="1:9" ht="14.45" customHeight="1">
      <c r="B72" s="105" t="s">
        <v>56</v>
      </c>
      <c r="C72" s="36" t="s">
        <v>57</v>
      </c>
      <c r="D72" s="42">
        <f>IF(ISERROR(VLOOKUP(C72,[1]DesSin02.rpt!$A$1:$H$200,6,FALSE))=TRUE,0,VLOOKUP(C72,[1]DesSin02.rpt!$A$1:$H$200,6,FALSE))</f>
        <v>0</v>
      </c>
      <c r="E72" s="1"/>
      <c r="F72" s="1"/>
      <c r="G72" s="1"/>
      <c r="H72" s="1"/>
      <c r="I72" s="43">
        <f t="shared" si="0"/>
        <v>0</v>
      </c>
    </row>
    <row r="73" spans="1:9" ht="14.45" customHeight="1">
      <c r="B73" s="105" t="s">
        <v>58</v>
      </c>
      <c r="C73" s="36" t="s">
        <v>59</v>
      </c>
      <c r="D73" s="42">
        <f>IF(ISERROR(VLOOKUP(C73,[1]DesSin02.rpt!$A$1:$H$200,6,FALSE))=TRUE,0,VLOOKUP(C73,[1]DesSin02.rpt!$A$1:$H$200,6,FALSE))</f>
        <v>2356</v>
      </c>
      <c r="E73" s="1"/>
      <c r="F73" s="1"/>
      <c r="G73" s="1"/>
      <c r="H73" s="1"/>
      <c r="I73" s="43">
        <f t="shared" si="0"/>
        <v>2356</v>
      </c>
    </row>
    <row r="74" spans="1:9" ht="14.45" customHeight="1">
      <c r="B74" s="105" t="s">
        <v>60</v>
      </c>
      <c r="C74" s="36" t="s">
        <v>61</v>
      </c>
      <c r="D74" s="42">
        <f>IF(ISERROR(VLOOKUP(C74,[1]DesSin02.rpt!$A$1:$H$200,6,FALSE))=TRUE,0,VLOOKUP(C74,[1]DesSin02.rpt!$A$1:$H$200,6,FALSE))</f>
        <v>2713.63</v>
      </c>
      <c r="E74" s="1"/>
      <c r="F74" s="1"/>
      <c r="G74" s="1"/>
      <c r="H74" s="1"/>
      <c r="I74" s="43">
        <f t="shared" si="0"/>
        <v>2713.63</v>
      </c>
    </row>
    <row r="75" spans="1:9" ht="14.45" customHeight="1">
      <c r="B75" s="105" t="s">
        <v>62</v>
      </c>
      <c r="C75" s="36" t="s">
        <v>63</v>
      </c>
      <c r="D75" s="42">
        <f>IF(ISERROR(VLOOKUP(C75,[1]DesSin02.rpt!$A$1:$H$200,6,FALSE))=TRUE,0,VLOOKUP(C75,[1]DesSin02.rpt!$A$1:$H$200,6,FALSE))</f>
        <v>3231.94</v>
      </c>
      <c r="E75" s="1"/>
      <c r="F75" s="1"/>
      <c r="G75" s="1"/>
      <c r="H75" s="1"/>
      <c r="I75" s="43">
        <f t="shared" si="0"/>
        <v>3231.94</v>
      </c>
    </row>
    <row r="76" spans="1:9" ht="14.45" customHeight="1">
      <c r="B76" s="105" t="s">
        <v>64</v>
      </c>
      <c r="C76" s="36" t="s">
        <v>65</v>
      </c>
      <c r="D76" s="42">
        <f>IF(ISERROR(VLOOKUP(C76,[1]DesSin02.rpt!$A$1:$H$200,6,FALSE))=TRUE,0,VLOOKUP(C76,[1]DesSin02.rpt!$A$1:$H$200,6,FALSE))</f>
        <v>0</v>
      </c>
      <c r="E76" s="1"/>
      <c r="F76" s="1"/>
      <c r="G76" s="1"/>
      <c r="H76" s="1"/>
      <c r="I76" s="43">
        <f t="shared" si="0"/>
        <v>0</v>
      </c>
    </row>
    <row r="77" spans="1:9" ht="14.45" customHeight="1">
      <c r="B77" s="105" t="s">
        <v>66</v>
      </c>
      <c r="C77" s="36" t="s">
        <v>67</v>
      </c>
      <c r="D77" s="42">
        <f>IF(ISERROR(VLOOKUP(C77,[1]DesSin02.rpt!$A$1:$H$200,6,FALSE))=TRUE,0,VLOOKUP(C77,[1]DesSin02.rpt!$A$1:$H$200,6,FALSE))</f>
        <v>0</v>
      </c>
      <c r="E77" s="1"/>
      <c r="F77" s="1"/>
      <c r="G77" s="1"/>
      <c r="H77" s="1"/>
      <c r="I77" s="43">
        <f t="shared" si="0"/>
        <v>0</v>
      </c>
    </row>
    <row r="78" spans="1:9" ht="14.45" customHeight="1">
      <c r="B78" s="105" t="s">
        <v>68</v>
      </c>
      <c r="C78" s="36" t="s">
        <v>69</v>
      </c>
      <c r="D78" s="42">
        <f>IF(ISERROR(VLOOKUP(C78,[1]DesSin02.rpt!$A$1:$H$200,6,FALSE))=TRUE,0,VLOOKUP(C78,[1]DesSin02.rpt!$A$1:$H$200,6,FALSE))</f>
        <v>0</v>
      </c>
      <c r="E78" s="1"/>
      <c r="F78" s="1"/>
      <c r="G78" s="1"/>
      <c r="H78" s="1"/>
      <c r="I78" s="43">
        <f t="shared" si="0"/>
        <v>0</v>
      </c>
    </row>
    <row r="79" spans="1:9" ht="14.45" customHeight="1">
      <c r="B79" s="105" t="s">
        <v>70</v>
      </c>
      <c r="C79" s="36" t="s">
        <v>71</v>
      </c>
      <c r="D79" s="42">
        <f>IF(ISERROR(VLOOKUP(C79,[1]DesSin02.rpt!$A$1:$H$200,6,FALSE))=TRUE,0,VLOOKUP(C79,[1]DesSin02.rpt!$A$1:$H$200,6,FALSE))</f>
        <v>0</v>
      </c>
      <c r="E79" s="1"/>
      <c r="F79" s="1"/>
      <c r="G79" s="1"/>
      <c r="H79" s="1"/>
      <c r="I79" s="43">
        <f t="shared" si="0"/>
        <v>0</v>
      </c>
    </row>
    <row r="80" spans="1:9" ht="14.45" customHeight="1">
      <c r="B80" s="105" t="s">
        <v>237</v>
      </c>
      <c r="C80" s="36" t="s">
        <v>238</v>
      </c>
      <c r="D80" s="42">
        <f>IF(ISERROR(VLOOKUP(C80,[1]DesSin02.rpt!$A$1:$H$200,6,FALSE))=TRUE,0,VLOOKUP(C80,[1]DesSin02.rpt!$A$1:$H$200,6,FALSE))</f>
        <v>0</v>
      </c>
      <c r="E80" s="1"/>
      <c r="F80" s="1"/>
      <c r="G80" s="1"/>
      <c r="H80" s="1"/>
      <c r="I80" s="43">
        <f t="shared" si="0"/>
        <v>0</v>
      </c>
    </row>
    <row r="81" spans="1:10" ht="14.45" customHeight="1">
      <c r="B81" s="105" t="s">
        <v>248</v>
      </c>
      <c r="C81" s="36" t="s">
        <v>249</v>
      </c>
      <c r="D81" s="42">
        <f>IF(ISERROR(VLOOKUP(C81,[1]DesSin02.rpt!$A$1:$H$200,6,FALSE))=TRUE,0,VLOOKUP(C81,[1]DesSin02.rpt!$A$1:$H$200,6,FALSE))</f>
        <v>0</v>
      </c>
      <c r="E81" s="1"/>
      <c r="F81" s="1"/>
      <c r="G81" s="1"/>
      <c r="H81" s="1"/>
      <c r="I81" s="43">
        <f t="shared" si="0"/>
        <v>0</v>
      </c>
    </row>
    <row r="82" spans="1:10" ht="14.45" customHeight="1">
      <c r="B82" s="105" t="s">
        <v>247</v>
      </c>
      <c r="C82" s="36" t="s">
        <v>246</v>
      </c>
      <c r="D82" s="42">
        <f>IF(ISERROR(VLOOKUP(C82,[1]DesSin02.rpt!$A$1:$H$200,6,FALSE))=TRUE,0,VLOOKUP(C82,[1]DesSin02.rpt!$A$1:$H$200,6,FALSE))</f>
        <v>0</v>
      </c>
      <c r="E82" s="1"/>
      <c r="F82" s="1"/>
      <c r="G82" s="1"/>
      <c r="H82" s="1"/>
      <c r="I82" s="43">
        <f t="shared" si="0"/>
        <v>0</v>
      </c>
    </row>
    <row r="83" spans="1:10" ht="14.45" customHeight="1">
      <c r="B83" s="105" t="s">
        <v>254</v>
      </c>
      <c r="C83" s="36" t="s">
        <v>261</v>
      </c>
      <c r="D83" s="42">
        <f>IF(ISERROR(VLOOKUP(C83,[1]DesSin02.rpt!$A$1:$H$200,6,FALSE))=TRUE,0,VLOOKUP(C83,[1]DesSin02.rpt!$A$1:$H$200,6,FALSE))</f>
        <v>0</v>
      </c>
      <c r="E83" s="1"/>
      <c r="F83" s="1"/>
      <c r="G83" s="1"/>
      <c r="H83" s="1"/>
      <c r="I83" s="43">
        <f t="shared" si="0"/>
        <v>0</v>
      </c>
    </row>
    <row r="84" spans="1:10" ht="14.45" customHeight="1">
      <c r="B84" s="105" t="s">
        <v>255</v>
      </c>
      <c r="C84" s="36" t="s">
        <v>252</v>
      </c>
      <c r="D84" s="42">
        <f>IF(ISERROR(VLOOKUP(C84,[1]DesSin02.rpt!$A$1:$H$200,6,FALSE))=TRUE,0,VLOOKUP(C84,[1]DesSin02.rpt!$A$1:$H$200,6,FALSE))</f>
        <v>0</v>
      </c>
      <c r="E84" s="1"/>
      <c r="F84" s="1"/>
      <c r="G84" s="1"/>
      <c r="H84" s="1"/>
      <c r="I84" s="43">
        <f t="shared" si="0"/>
        <v>0</v>
      </c>
    </row>
    <row r="85" spans="1:10" ht="14.45" customHeight="1">
      <c r="B85" s="105" t="s">
        <v>256</v>
      </c>
      <c r="C85" s="36" t="s">
        <v>253</v>
      </c>
      <c r="D85" s="42">
        <f>IF(ISERROR(VLOOKUP(C85,[1]DesSin02.rpt!$A$1:$H$200,6,FALSE))=TRUE,0,VLOOKUP(C85,[1]DesSin02.rpt!$A$1:$H$200,6,FALSE))</f>
        <v>65.099999999999994</v>
      </c>
      <c r="E85" s="1"/>
      <c r="F85" s="1"/>
      <c r="G85" s="1"/>
      <c r="H85" s="1"/>
      <c r="I85" s="43">
        <f t="shared" si="0"/>
        <v>65.099999999999994</v>
      </c>
    </row>
    <row r="86" spans="1:10" ht="13.5" customHeight="1">
      <c r="B86" s="105" t="s">
        <v>292</v>
      </c>
      <c r="C86" s="36" t="s">
        <v>293</v>
      </c>
      <c r="D86" s="42">
        <f>IF(ISERROR(VLOOKUP(C86,[1]DesSin02.rpt!$A$1:$H$200,6,FALSE))=TRUE,0,VLOOKUP(C86,[1]DesSin02.rpt!$A$1:$H$200,6,FALSE))</f>
        <v>0</v>
      </c>
      <c r="I86" s="43">
        <f t="shared" si="0"/>
        <v>0</v>
      </c>
    </row>
    <row r="87" spans="1:10" ht="13.5" customHeight="1">
      <c r="B87" s="105" t="s">
        <v>371</v>
      </c>
      <c r="C87" s="36" t="s">
        <v>373</v>
      </c>
      <c r="D87" s="42">
        <f>IF(ISERROR(VLOOKUP(C87,[1]DesSin02.rpt!$A$1:$H$200,6,FALSE))=TRUE,0,VLOOKUP(C87,[1]DesSin02.rpt!$A$1:$H$200,6,FALSE))</f>
        <v>0</v>
      </c>
      <c r="I87" s="43">
        <f t="shared" si="0"/>
        <v>0</v>
      </c>
    </row>
    <row r="88" spans="1:10" ht="13.5" customHeight="1">
      <c r="B88" s="174" t="s">
        <v>497</v>
      </c>
      <c r="C88" s="174" t="s">
        <v>105</v>
      </c>
      <c r="D88" s="42">
        <f>IF(ISERROR(VLOOKUP(C88,[1]DesSin02.rpt!$A$1:$H$200,6,FALSE))=TRUE,0,VLOOKUP(C88,[1]DesSin02.rpt!$A$1:$H$200,6,FALSE))</f>
        <v>0</v>
      </c>
      <c r="I88" s="43">
        <f t="shared" si="0"/>
        <v>0</v>
      </c>
    </row>
    <row r="89" spans="1:10" ht="13.5" customHeight="1">
      <c r="B89" s="174" t="s">
        <v>521</v>
      </c>
      <c r="C89" s="174" t="s">
        <v>542</v>
      </c>
      <c r="D89" s="42">
        <f>IF(ISERROR(VLOOKUP(C89,[1]DesSin02.rpt!$A$1:$H$200,6,FALSE))=TRUE,0,VLOOKUP(C89,[1]DesSin02.rpt!$A$1:$H$200,6,FALSE))</f>
        <v>0</v>
      </c>
      <c r="I89" s="43">
        <f t="shared" si="0"/>
        <v>0</v>
      </c>
    </row>
    <row r="90" spans="1:10" ht="13.5" customHeight="1">
      <c r="B90" s="174" t="s">
        <v>543</v>
      </c>
      <c r="C90" s="174" t="s">
        <v>544</v>
      </c>
      <c r="D90" s="42">
        <f>IF(ISERROR(VLOOKUP(C90,[1]DesSin02.rpt!$A$1:$H$200,6,FALSE))=TRUE,0,VLOOKUP(C90,[1]DesSin02.rpt!$A$1:$H$200,6,FALSE))</f>
        <v>0</v>
      </c>
      <c r="I90" s="43">
        <f t="shared" si="0"/>
        <v>0</v>
      </c>
    </row>
    <row r="91" spans="1:10" ht="13.5" customHeight="1">
      <c r="B91" s="174" t="s">
        <v>545</v>
      </c>
      <c r="C91" s="174" t="s">
        <v>522</v>
      </c>
      <c r="D91" s="42">
        <f>IF(ISERROR(VLOOKUP(C91,[1]DesSin02.rpt!$A$1:$H$200,6,FALSE))=TRUE,0,VLOOKUP(C91,[1]DesSin02.rpt!$A$1:$H$200,6,FALSE))</f>
        <v>378.8</v>
      </c>
      <c r="I91" s="43">
        <f t="shared" si="0"/>
        <v>378.8</v>
      </c>
    </row>
    <row r="92" spans="1:10" ht="13.5" customHeight="1">
      <c r="B92" s="174" t="s">
        <v>546</v>
      </c>
      <c r="C92" s="174" t="s">
        <v>547</v>
      </c>
      <c r="D92" s="42">
        <f>IF(ISERROR(VLOOKUP(C92,[1]DesSin02.rpt!$A$1:$H$200,6,FALSE))=TRUE,0,VLOOKUP(C92,[1]DesSin02.rpt!$A$1:$H$200,6,FALSE))</f>
        <v>0</v>
      </c>
      <c r="I92" s="43">
        <f t="shared" si="0"/>
        <v>0</v>
      </c>
    </row>
    <row r="93" spans="1:10" ht="13.5" customHeight="1">
      <c r="B93" s="105" t="s">
        <v>372</v>
      </c>
      <c r="C93" s="36" t="s">
        <v>325</v>
      </c>
      <c r="D93" s="42">
        <f>IF(ISERROR(VLOOKUP(C93,[1]DesSin02.rpt!$A$1:$H$200,6,FALSE))=TRUE,0,VLOOKUP(C93,[1]DesSin02.rpt!$A$1:$H$200,6,FALSE))</f>
        <v>633</v>
      </c>
      <c r="I93" s="43">
        <f t="shared" si="0"/>
        <v>633</v>
      </c>
    </row>
    <row r="95" spans="1:10" ht="14.45" customHeight="1">
      <c r="B95" s="35"/>
      <c r="C95" s="36"/>
      <c r="D95" s="37"/>
    </row>
    <row r="96" spans="1:10" ht="16.5">
      <c r="A96" s="31" t="s">
        <v>72</v>
      </c>
      <c r="B96" s="32"/>
      <c r="C96" s="32" t="s">
        <v>73</v>
      </c>
      <c r="D96" s="46">
        <f>SUM(D98:D106)</f>
        <v>69003.39</v>
      </c>
      <c r="E96" s="33"/>
      <c r="I96" s="46">
        <f>SUM(I98:I107)</f>
        <v>69003.39</v>
      </c>
      <c r="J96" s="33"/>
    </row>
    <row r="97" spans="1:9" ht="9.9499999999999993" customHeight="1">
      <c r="A97" s="31"/>
      <c r="B97" s="32"/>
      <c r="C97" s="39"/>
      <c r="D97" s="34"/>
    </row>
    <row r="98" spans="1:9" ht="14.45" customHeight="1">
      <c r="B98" s="35" t="s">
        <v>74</v>
      </c>
      <c r="C98" s="36" t="s">
        <v>75</v>
      </c>
      <c r="D98" s="44">
        <f>IF(ISERROR(VLOOKUP(C98,[1]DesSin02.rpt!$A$1:$H$200,6,FALSE))=TRUE,0,VLOOKUP(C98,[1]DesSin02.rpt!$A$1:$H$200,6,FALSE))</f>
        <v>9700.19</v>
      </c>
      <c r="E98" s="52"/>
      <c r="F98" s="1"/>
      <c r="G98" s="1"/>
      <c r="H98" s="1"/>
      <c r="I98" s="45">
        <f t="shared" ref="I98:I106" si="1">D98-SUM(E98:H98)</f>
        <v>9700.19</v>
      </c>
    </row>
    <row r="99" spans="1:9" ht="14.45" customHeight="1">
      <c r="B99" s="35" t="s">
        <v>76</v>
      </c>
      <c r="C99" s="36" t="s">
        <v>77</v>
      </c>
      <c r="D99" s="44">
        <f>IF(ISERROR(VLOOKUP(C99,[1]DesSin02.rpt!$A$1:$H$200,6,FALSE))=TRUE,0,VLOOKUP(C99,[1]DesSin02.rpt!$A$1:$H$200,6,FALSE))</f>
        <v>59303.199999999997</v>
      </c>
      <c r="E99" s="52"/>
      <c r="F99" s="1"/>
      <c r="G99" s="1"/>
      <c r="H99" s="1"/>
      <c r="I99" s="45">
        <f t="shared" si="1"/>
        <v>59303.199999999997</v>
      </c>
    </row>
    <row r="100" spans="1:9" ht="14.45" customHeight="1">
      <c r="B100" s="35" t="s">
        <v>78</v>
      </c>
      <c r="C100" s="36" t="s">
        <v>79</v>
      </c>
      <c r="D100" s="44">
        <f>IF(ISERROR(VLOOKUP(C100,[1]DesSin02.rpt!$A$1:$H$200,6,FALSE))=TRUE,0,VLOOKUP(C100,[1]DesSin02.rpt!$A$1:$H$200,6,FALSE))</f>
        <v>0</v>
      </c>
      <c r="E100" s="52"/>
      <c r="F100" s="1"/>
      <c r="G100" s="1"/>
      <c r="H100" s="1"/>
      <c r="I100" s="45">
        <f t="shared" si="1"/>
        <v>0</v>
      </c>
    </row>
    <row r="101" spans="1:9" ht="14.45" customHeight="1">
      <c r="B101" s="35" t="s">
        <v>80</v>
      </c>
      <c r="C101" s="36" t="s">
        <v>81</v>
      </c>
      <c r="D101" s="111">
        <f>IF(ISERROR(VLOOKUP(C101,[1]DesSin02.rpt!$A$1:$H$200,6,FALSE))=TRUE,0,VLOOKUP(C101,[1]DesSin02.rpt!$A$1:$H$200,6,FALSE))</f>
        <v>0</v>
      </c>
      <c r="E101" s="52"/>
      <c r="F101" s="1"/>
      <c r="G101" s="1"/>
      <c r="H101" s="1"/>
      <c r="I101" s="112">
        <f t="shared" si="1"/>
        <v>0</v>
      </c>
    </row>
    <row r="102" spans="1:9" ht="14.45" customHeight="1">
      <c r="B102" s="35" t="s">
        <v>82</v>
      </c>
      <c r="C102" s="36" t="s">
        <v>83</v>
      </c>
      <c r="D102" s="111">
        <f>IF(ISERROR(VLOOKUP(C102,[1]DesSin02.rpt!$A$1:$H$200,6,FALSE))=TRUE,0,VLOOKUP(C102,[1]DesSin02.rpt!$A$1:$H$200,6,FALSE))</f>
        <v>0</v>
      </c>
      <c r="E102" s="52"/>
      <c r="F102" s="1"/>
      <c r="G102" s="1"/>
      <c r="H102" s="1"/>
      <c r="I102" s="112">
        <f t="shared" si="1"/>
        <v>0</v>
      </c>
    </row>
    <row r="103" spans="1:9" ht="14.45" customHeight="1">
      <c r="B103" s="35" t="s">
        <v>84</v>
      </c>
      <c r="C103" s="36" t="s">
        <v>85</v>
      </c>
      <c r="D103" s="128">
        <f>IF(ISERROR(VLOOKUP(C103,[1]DesSin02.rpt!$A$1:$H$200,6,FALSE))=TRUE,0,VLOOKUP(C103,[1]DesSin02.rpt!$A$1:$H$200,6,FALSE))</f>
        <v>0</v>
      </c>
      <c r="E103" s="52"/>
      <c r="F103" s="1"/>
      <c r="G103" s="1"/>
      <c r="H103" s="1"/>
      <c r="I103" s="127">
        <f t="shared" si="1"/>
        <v>0</v>
      </c>
    </row>
    <row r="104" spans="1:9" ht="14.45" customHeight="1">
      <c r="B104" s="35" t="s">
        <v>374</v>
      </c>
      <c r="C104" s="36" t="s">
        <v>377</v>
      </c>
      <c r="D104" s="117">
        <f>IF(ISERROR(VLOOKUP(C104,[1]DesSin02.rpt!$A$1:$H$200,6,FALSE))=TRUE,0,VLOOKUP(C104,[1]DesSin02.rpt!$A$1:$H$200,6,FALSE))</f>
        <v>0</v>
      </c>
      <c r="E104" s="52"/>
      <c r="F104" s="1"/>
      <c r="G104" s="1"/>
      <c r="H104" s="1"/>
      <c r="I104" s="122">
        <f t="shared" si="1"/>
        <v>0</v>
      </c>
    </row>
    <row r="105" spans="1:9" ht="14.45" customHeight="1">
      <c r="B105" s="35" t="s">
        <v>375</v>
      </c>
      <c r="C105" s="36" t="s">
        <v>378</v>
      </c>
      <c r="D105" s="100">
        <f>IF(ISERROR(VLOOKUP(C105,[1]DesSin02.rpt!$A$1:$H$200,6,FALSE))=TRUE,0,VLOOKUP(C105,[1]DesSin02.rpt!$A$1:$H$200,6,FALSE))</f>
        <v>0</v>
      </c>
      <c r="E105" s="52"/>
      <c r="F105" s="1"/>
      <c r="G105" s="1"/>
      <c r="H105" s="1"/>
      <c r="I105" s="112">
        <f t="shared" si="1"/>
        <v>0</v>
      </c>
    </row>
    <row r="106" spans="1:9" ht="14.45" customHeight="1">
      <c r="B106" s="35" t="s">
        <v>376</v>
      </c>
      <c r="C106" s="36" t="s">
        <v>379</v>
      </c>
      <c r="D106" s="100">
        <f>IF(ISERROR(VLOOKUP(C106,[1]DesSin02.rpt!$A$1:$H$200,6,FALSE))=TRUE,0,VLOOKUP(C106,[1]DesSin02.rpt!$A$1:$H$200,6,FALSE))</f>
        <v>0</v>
      </c>
      <c r="E106" s="52"/>
      <c r="F106" s="1"/>
      <c r="G106" s="1"/>
      <c r="H106" s="1"/>
      <c r="I106" s="112">
        <f t="shared" si="1"/>
        <v>0</v>
      </c>
    </row>
    <row r="107" spans="1:9" ht="14.45" customHeight="1">
      <c r="B107" s="35"/>
      <c r="C107" s="36"/>
      <c r="D107" s="37"/>
      <c r="E107" s="38"/>
    </row>
    <row r="108" spans="1:9" ht="16.5">
      <c r="A108" s="31" t="s">
        <v>86</v>
      </c>
      <c r="B108" s="32"/>
      <c r="C108" s="32" t="s">
        <v>87</v>
      </c>
      <c r="D108" s="46">
        <f>SUM(D110:D134)</f>
        <v>14148.53</v>
      </c>
      <c r="E108" s="176"/>
      <c r="I108" s="46">
        <f>SUM(I110:I137)</f>
        <v>19456.54</v>
      </c>
    </row>
    <row r="109" spans="1:9" ht="9.9499999999999993" customHeight="1">
      <c r="A109" s="31"/>
      <c r="B109" s="32"/>
      <c r="C109" s="39"/>
      <c r="D109" s="34"/>
      <c r="E109" s="38"/>
    </row>
    <row r="110" spans="1:9" ht="14.45" customHeight="1">
      <c r="B110" s="35" t="s">
        <v>88</v>
      </c>
      <c r="C110" s="36" t="s">
        <v>89</v>
      </c>
      <c r="D110" s="100">
        <f>IF(ISERROR(VLOOKUP(C110,[1]DesSin02.rpt!$A$1:$H$200,6,FALSE))=TRUE,0,VLOOKUP(C110,[1]DesSin02.rpt!$A$1:$H$200,6,FALSE))</f>
        <v>1025.28</v>
      </c>
      <c r="E110" s="52">
        <v>630</v>
      </c>
      <c r="F110" s="1"/>
      <c r="G110" s="1"/>
      <c r="H110" s="1"/>
      <c r="I110" s="43">
        <f t="shared" ref="I110:I133" si="2">D110-SUM(E110:H110)</f>
        <v>395.28</v>
      </c>
    </row>
    <row r="111" spans="1:9" ht="14.45" customHeight="1">
      <c r="B111" s="35" t="s">
        <v>90</v>
      </c>
      <c r="C111" s="36" t="s">
        <v>91</v>
      </c>
      <c r="D111" s="100">
        <f>IF(ISERROR(VLOOKUP(C111,[1]DesSin02.rpt!$A$1:$H$200,6,FALSE))=TRUE,0,VLOOKUP(C111,[1]DesSin02.rpt!$A$1:$H$200,6,FALSE))</f>
        <v>0</v>
      </c>
      <c r="E111" s="52"/>
      <c r="F111" s="1"/>
      <c r="G111" s="1"/>
      <c r="H111" s="1"/>
      <c r="I111" s="43">
        <f t="shared" si="2"/>
        <v>0</v>
      </c>
    </row>
    <row r="112" spans="1:9" ht="14.45" customHeight="1">
      <c r="B112" s="35" t="s">
        <v>92</v>
      </c>
      <c r="C112" s="36" t="s">
        <v>93</v>
      </c>
      <c r="D112" s="100">
        <f>IF(ISERROR(VLOOKUP(C112,[1]DesSin02.rpt!$A$1:$H$200,6,FALSE))=TRUE,0,VLOOKUP(C112,[1]DesSin02.rpt!$A$1:$H$200,6,FALSE))</f>
        <v>0</v>
      </c>
      <c r="E112" s="52"/>
      <c r="F112" s="1"/>
      <c r="G112" s="1"/>
      <c r="H112" s="1"/>
      <c r="I112" s="43">
        <f t="shared" si="2"/>
        <v>0</v>
      </c>
    </row>
    <row r="113" spans="2:9" ht="14.45" customHeight="1">
      <c r="B113" s="35" t="s">
        <v>94</v>
      </c>
      <c r="C113" s="36" t="s">
        <v>95</v>
      </c>
      <c r="D113" s="100">
        <f>IF(ISERROR(VLOOKUP(C113,[1]DesSin02.rpt!$A$1:$H$200,6,FALSE))=TRUE,0,VLOOKUP(C113,[1]DesSin02.rpt!$A$1:$H$200,6,FALSE))</f>
        <v>0</v>
      </c>
      <c r="E113" s="52"/>
      <c r="F113" s="1"/>
      <c r="G113" s="1"/>
      <c r="H113" s="1"/>
      <c r="I113" s="43">
        <f t="shared" si="2"/>
        <v>0</v>
      </c>
    </row>
    <row r="114" spans="2:9" ht="14.45" customHeight="1">
      <c r="B114" s="35" t="s">
        <v>96</v>
      </c>
      <c r="C114" s="36" t="s">
        <v>97</v>
      </c>
      <c r="D114" s="100">
        <f>IF(ISERROR(VLOOKUP(C114,[1]DesSin02.rpt!$A$1:$H$200,6,FALSE))=TRUE,0,VLOOKUP(C114,[1]DesSin02.rpt!$A$1:$H$200,6,FALSE))</f>
        <v>0</v>
      </c>
      <c r="E114" s="52"/>
      <c r="F114" s="1"/>
      <c r="G114" s="1"/>
      <c r="H114" s="1"/>
      <c r="I114" s="43">
        <f t="shared" si="2"/>
        <v>0</v>
      </c>
    </row>
    <row r="115" spans="2:9" ht="14.45" customHeight="1">
      <c r="B115" s="35" t="s">
        <v>98</v>
      </c>
      <c r="C115" s="36" t="s">
        <v>99</v>
      </c>
      <c r="D115" s="100">
        <f>IF(ISERROR(VLOOKUP(C115,[1]DesSin02.rpt!$A$1:$H$200,6,FALSE))=TRUE,0,VLOOKUP(C115,[1]DesSin02.rpt!$A$1:$H$200,6,FALSE))</f>
        <v>1575.32</v>
      </c>
      <c r="E115" s="52">
        <v>1000</v>
      </c>
      <c r="F115" s="1"/>
      <c r="G115" s="1"/>
      <c r="H115" s="1"/>
      <c r="I115" s="43">
        <f t="shared" si="2"/>
        <v>575.31999999999994</v>
      </c>
    </row>
    <row r="116" spans="2:9" ht="14.45" customHeight="1">
      <c r="B116" s="35" t="s">
        <v>100</v>
      </c>
      <c r="C116" s="36" t="s">
        <v>101</v>
      </c>
      <c r="D116" s="100">
        <f>IF(ISERROR(VLOOKUP(C116,[1]DesSin02.rpt!$A$1:$H$200,6,FALSE))=TRUE,0,VLOOKUP(C116,[1]DesSin02.rpt!$A$1:$H$200,6,FALSE))</f>
        <v>0</v>
      </c>
      <c r="E116" s="52"/>
      <c r="F116" s="1"/>
      <c r="G116" s="1"/>
      <c r="H116" s="1"/>
      <c r="I116" s="43">
        <f t="shared" si="2"/>
        <v>0</v>
      </c>
    </row>
    <row r="117" spans="2:9" ht="14.45" customHeight="1">
      <c r="B117" s="35" t="s">
        <v>102</v>
      </c>
      <c r="C117" s="36" t="s">
        <v>103</v>
      </c>
      <c r="D117" s="100">
        <f>IF(ISERROR(VLOOKUP(C117,[1]DesSin02.rpt!$A$1:$H$200,6,FALSE))=TRUE,0,VLOOKUP(C117,[1]DesSin02.rpt!$A$1:$H$200,6,FALSE))</f>
        <v>400</v>
      </c>
      <c r="E117" s="52"/>
      <c r="F117" s="1"/>
      <c r="G117" s="1"/>
      <c r="H117" s="1"/>
      <c r="I117" s="43">
        <f t="shared" si="2"/>
        <v>400</v>
      </c>
    </row>
    <row r="118" spans="2:9" ht="14.45" customHeight="1">
      <c r="B118" s="35" t="s">
        <v>104</v>
      </c>
      <c r="C118" s="36" t="s">
        <v>560</v>
      </c>
      <c r="D118" s="100">
        <f>IF(ISERROR(VLOOKUP(C118,[1]DesSin02.rpt!$A$1:$H$200,6,FALSE))=TRUE,0,VLOOKUP(C118,[1]DesSin02.rpt!$A$1:$H$200,6,FALSE))</f>
        <v>0</v>
      </c>
      <c r="E118" s="52"/>
      <c r="F118" s="1"/>
      <c r="G118" s="1"/>
      <c r="H118" s="1"/>
      <c r="I118" s="43">
        <f t="shared" si="2"/>
        <v>0</v>
      </c>
    </row>
    <row r="119" spans="2:9" ht="14.45" customHeight="1">
      <c r="B119" s="35" t="s">
        <v>106</v>
      </c>
      <c r="C119" s="36" t="s">
        <v>107</v>
      </c>
      <c r="D119" s="101">
        <f>IF(ISERROR(VLOOKUP(C119,[1]DesSin02.rpt!$A$1:$H$200,6,FALSE))=TRUE,0,VLOOKUP(C119,[1]DesSin02.rpt!$A$1:$H$200,6,FALSE))</f>
        <v>2649.6</v>
      </c>
      <c r="E119" s="52"/>
      <c r="F119" s="1"/>
      <c r="G119" s="1"/>
      <c r="H119" s="1"/>
      <c r="I119" s="45">
        <f t="shared" si="2"/>
        <v>2649.6</v>
      </c>
    </row>
    <row r="120" spans="2:9" ht="14.45" customHeight="1">
      <c r="B120" s="35" t="s">
        <v>108</v>
      </c>
      <c r="C120" s="36" t="s">
        <v>109</v>
      </c>
      <c r="D120" s="100">
        <f>IF(ISERROR(VLOOKUP(C120,[1]DesSin02.rpt!$A$1:$H$200,6,FALSE))=TRUE,0,VLOOKUP(C120,[1]DesSin02.rpt!$A$1:$H$200,6,FALSE))</f>
        <v>0</v>
      </c>
      <c r="E120" s="52"/>
      <c r="F120" s="1"/>
      <c r="G120" s="1"/>
      <c r="H120" s="1"/>
      <c r="I120" s="43">
        <f t="shared" si="2"/>
        <v>0</v>
      </c>
    </row>
    <row r="121" spans="2:9" ht="14.45" customHeight="1">
      <c r="B121" s="35" t="s">
        <v>110</v>
      </c>
      <c r="C121" s="36" t="s">
        <v>111</v>
      </c>
      <c r="D121" s="100">
        <f>IF(ISERROR(VLOOKUP(C121,[1]DesSin02.rpt!$A$1:$H$200,6,FALSE))=TRUE,0,VLOOKUP(C121,[1]DesSin02.rpt!$A$1:$H$200,6,FALSE))</f>
        <v>1140</v>
      </c>
      <c r="E121" s="52">
        <v>990</v>
      </c>
      <c r="F121" s="1"/>
      <c r="G121" s="1"/>
      <c r="H121" s="1"/>
      <c r="I121" s="43">
        <f t="shared" si="2"/>
        <v>150</v>
      </c>
    </row>
    <row r="122" spans="2:9" ht="14.45" customHeight="1">
      <c r="B122" s="35" t="s">
        <v>112</v>
      </c>
      <c r="C122" s="36" t="s">
        <v>113</v>
      </c>
      <c r="D122" s="100">
        <f>IF(ISERROR(VLOOKUP(C122,[1]DesSin02.rpt!$A$1:$H$200,6,FALSE))=TRUE,0,VLOOKUP(C122,[1]DesSin02.rpt!$A$1:$H$200,6,FALSE))</f>
        <v>1732</v>
      </c>
      <c r="E122" s="52"/>
      <c r="F122" s="1"/>
      <c r="G122" s="1"/>
      <c r="H122" s="1"/>
      <c r="I122" s="43">
        <f t="shared" si="2"/>
        <v>1732</v>
      </c>
    </row>
    <row r="123" spans="2:9" ht="14.45" customHeight="1">
      <c r="B123" s="35" t="s">
        <v>114</v>
      </c>
      <c r="C123" s="36" t="s">
        <v>115</v>
      </c>
      <c r="D123" s="100">
        <f>IF(ISERROR(VLOOKUP(C123,[1]DesSin02.rpt!$A$1:$H$200,6,FALSE))=TRUE,0,VLOOKUP(C123,[1]DesSin02.rpt!$A$1:$H$200,6,FALSE))</f>
        <v>0</v>
      </c>
      <c r="E123" s="52"/>
      <c r="F123" s="1"/>
      <c r="G123" s="1"/>
      <c r="H123" s="1"/>
      <c r="I123" s="43">
        <f t="shared" si="2"/>
        <v>0</v>
      </c>
    </row>
    <row r="124" spans="2:9" ht="14.45" customHeight="1">
      <c r="B124" s="35" t="s">
        <v>116</v>
      </c>
      <c r="C124" s="36" t="s">
        <v>117</v>
      </c>
      <c r="D124" s="100">
        <f>IF(ISERROR(VLOOKUP(C124,[1]DesSin02.rpt!$A$1:$H$200,6,FALSE))=TRUE,0,VLOOKUP(C124,[1]DesSin02.rpt!$A$1:$H$200,6,FALSE))</f>
        <v>0</v>
      </c>
      <c r="E124" s="52"/>
      <c r="F124" s="1"/>
      <c r="G124" s="1"/>
      <c r="H124" s="1"/>
      <c r="I124" s="43">
        <f t="shared" si="2"/>
        <v>0</v>
      </c>
    </row>
    <row r="125" spans="2:9" ht="14.45" customHeight="1">
      <c r="B125" s="35" t="s">
        <v>118</v>
      </c>
      <c r="C125" s="36" t="s">
        <v>119</v>
      </c>
      <c r="D125" s="100">
        <f>IF(ISERROR(VLOOKUP(C125,[1]DesSin02.rpt!$A$1:$H$200,6,FALSE))=TRUE,0,VLOOKUP(C125,[1]DesSin02.rpt!$A$1:$H$200,6,FALSE))</f>
        <v>0</v>
      </c>
      <c r="E125" s="52"/>
      <c r="F125" s="1"/>
      <c r="G125" s="1"/>
      <c r="H125" s="1"/>
      <c r="I125" s="43">
        <f t="shared" si="2"/>
        <v>0</v>
      </c>
    </row>
    <row r="126" spans="2:9" ht="14.45" customHeight="1">
      <c r="B126" s="35" t="s">
        <v>120</v>
      </c>
      <c r="C126" s="182" t="s">
        <v>525</v>
      </c>
      <c r="D126" s="100">
        <v>410.5</v>
      </c>
      <c r="E126" s="52">
        <v>0</v>
      </c>
      <c r="F126" s="1"/>
      <c r="G126" s="1"/>
      <c r="H126" s="1"/>
      <c r="I126" s="43">
        <f t="shared" si="2"/>
        <v>410.5</v>
      </c>
    </row>
    <row r="127" spans="2:9" ht="14.45" customHeight="1">
      <c r="B127" s="35" t="s">
        <v>121</v>
      </c>
      <c r="C127" s="36" t="s">
        <v>122</v>
      </c>
      <c r="D127" s="100">
        <f>IF(ISERROR(VLOOKUP(C127,[1]DesSin02.rpt!$A$1:$H$200,6,FALSE))=TRUE,0,VLOOKUP(C127,[1]DesSin02.rpt!$A$1:$H$200,6,FALSE))</f>
        <v>0</v>
      </c>
      <c r="E127" s="52"/>
      <c r="F127" s="1"/>
      <c r="G127" s="1"/>
      <c r="H127" s="1"/>
      <c r="I127" s="43">
        <f t="shared" si="2"/>
        <v>0</v>
      </c>
    </row>
    <row r="128" spans="2:9" ht="14.45" customHeight="1">
      <c r="B128" s="35" t="s">
        <v>123</v>
      </c>
      <c r="C128" s="36" t="s">
        <v>124</v>
      </c>
      <c r="D128" s="100">
        <f>IF(ISERROR(VLOOKUP(C128,[1]DesSin02.rpt!$A$1:$H$200,6,FALSE))=TRUE,0,VLOOKUP(C128,[1]DesSin02.rpt!$A$1:$H$200,6,FALSE))</f>
        <v>2250</v>
      </c>
      <c r="E128" s="52"/>
      <c r="F128" s="1"/>
      <c r="G128" s="1"/>
      <c r="H128" s="1"/>
      <c r="I128" s="43">
        <f t="shared" si="2"/>
        <v>2250</v>
      </c>
    </row>
    <row r="129" spans="1:9" ht="14.45" customHeight="1">
      <c r="B129" s="35" t="s">
        <v>125</v>
      </c>
      <c r="C129" t="s">
        <v>240</v>
      </c>
      <c r="D129" s="100">
        <f>IF(ISERROR(VLOOKUP(C129,[1]DesSin02.rpt!$A$1:$H$200,6,FALSE))=TRUE,0,VLOOKUP(C129,[1]DesSin02.rpt!$A$1:$H$200,6,FALSE))</f>
        <v>2965.83</v>
      </c>
      <c r="E129" s="52"/>
      <c r="F129" s="1"/>
      <c r="G129" s="1"/>
      <c r="H129" s="1"/>
      <c r="I129" s="43">
        <f t="shared" si="2"/>
        <v>2965.83</v>
      </c>
    </row>
    <row r="130" spans="1:9" ht="14.45" customHeight="1">
      <c r="B130" s="35" t="s">
        <v>126</v>
      </c>
      <c r="C130" s="36" t="s">
        <v>127</v>
      </c>
      <c r="D130" s="100">
        <f>IF(ISERROR(VLOOKUP(C130,[1]DesSin02.rpt!$A$1:$H$200,6,FALSE))=TRUE,0,VLOOKUP(C130,[1]DesSin02.rpt!$A$1:$H$200,6,FALSE))</f>
        <v>0</v>
      </c>
      <c r="E130" s="52"/>
      <c r="F130" s="1"/>
      <c r="G130" s="1"/>
      <c r="H130" s="1"/>
      <c r="I130" s="43">
        <f t="shared" si="2"/>
        <v>0</v>
      </c>
    </row>
    <row r="131" spans="1:9" ht="14.45" customHeight="1">
      <c r="B131" s="35" t="s">
        <v>128</v>
      </c>
      <c r="C131" s="36" t="s">
        <v>442</v>
      </c>
      <c r="D131" s="100">
        <f>IF(ISERROR(VLOOKUP(C131,[1]DesSin02.rpt!$A$1:$H$200,6,FALSE))=TRUE,0,VLOOKUP(C131,[1]DesSin02.rpt!$A$1:$H$200,6,FALSE))</f>
        <v>0</v>
      </c>
      <c r="E131" s="52"/>
      <c r="F131" s="1"/>
      <c r="G131" s="1"/>
      <c r="H131" s="1"/>
      <c r="I131" s="103">
        <f t="shared" si="2"/>
        <v>0</v>
      </c>
    </row>
    <row r="132" spans="1:9" ht="14.45" customHeight="1">
      <c r="B132" s="35" t="s">
        <v>129</v>
      </c>
      <c r="C132" s="36" t="s">
        <v>130</v>
      </c>
      <c r="D132" s="100">
        <f>IF(ISERROR(VLOOKUP(C132,[1]DesSin02.rpt!$A$1:$H$200,6,FALSE))=TRUE,0,VLOOKUP(C132,[1]DesSin02.rpt!$A$1:$H$200,6,FALSE))</f>
        <v>0</v>
      </c>
      <c r="E132" s="52"/>
      <c r="F132" s="1"/>
      <c r="G132" s="1"/>
      <c r="H132" s="1"/>
      <c r="I132" s="43">
        <f t="shared" si="2"/>
        <v>0</v>
      </c>
    </row>
    <row r="133" spans="1:9" ht="14.45" customHeight="1">
      <c r="B133" s="35" t="s">
        <v>131</v>
      </c>
      <c r="C133" s="36" t="s">
        <v>132</v>
      </c>
      <c r="D133" s="100">
        <f>IF(ISERROR(VLOOKUP(C133,[1]DesSin02.rpt!$A$1:$H$200,6,FALSE))=TRUE,0,VLOOKUP(C133,[1]DesSin02.rpt!$A$1:$H$200,6,FALSE))</f>
        <v>0</v>
      </c>
      <c r="E133" s="53"/>
      <c r="F133" s="129"/>
      <c r="G133" s="1"/>
      <c r="H133" s="1"/>
      <c r="I133" s="43">
        <f t="shared" si="2"/>
        <v>0</v>
      </c>
    </row>
    <row r="134" spans="1:9" ht="14.45" customHeight="1">
      <c r="B134" s="35" t="s">
        <v>463</v>
      </c>
      <c r="C134" s="36" t="s">
        <v>466</v>
      </c>
      <c r="D134" s="100">
        <f>IF(ISERROR(VLOOKUP(C134,[1]DesSin02.rpt!$A$1:$H$200,6,FALSE))=TRUE,0,VLOOKUP(C134,[1]DesSin02.rpt!$A$1:$H$200,6,FALSE))</f>
        <v>0</v>
      </c>
      <c r="E134" s="52"/>
      <c r="F134" s="1"/>
      <c r="G134" s="1"/>
      <c r="H134" s="1"/>
      <c r="I134" s="45">
        <f t="shared" ref="I134:I136" si="3">D134-SUM(E134:H134)</f>
        <v>0</v>
      </c>
    </row>
    <row r="135" spans="1:9" ht="14.45" customHeight="1">
      <c r="B135" s="35" t="s">
        <v>548</v>
      </c>
      <c r="C135" s="36" t="s">
        <v>550</v>
      </c>
      <c r="D135" s="100">
        <f>IF(ISERROR(VLOOKUP(C135,[1]DesSin02.rpt!$A$1:$H$200,6,FALSE))=TRUE,0,VLOOKUP(C135,[1]DesSin02.rpt!$A$1:$H$200,6,FALSE))</f>
        <v>0</v>
      </c>
      <c r="E135" s="53">
        <f>-D146+D156</f>
        <v>-27769.79</v>
      </c>
      <c r="F135" s="1"/>
      <c r="G135" s="1"/>
      <c r="H135" s="1"/>
      <c r="I135" s="45">
        <f t="shared" si="3"/>
        <v>27769.79</v>
      </c>
    </row>
    <row r="136" spans="1:9" ht="14.45" customHeight="1">
      <c r="B136" s="35" t="s">
        <v>549</v>
      </c>
      <c r="C136" s="36" t="s">
        <v>551</v>
      </c>
      <c r="D136" s="100">
        <f>IF(ISERROR(VLOOKUP(C136,[1]DesSin02.rpt!$A$1:$H$200,6,FALSE))=TRUE,0,VLOOKUP(C136,[1]DesSin02.rpt!$A$1:$H$200,6,FALSE))</f>
        <v>0</v>
      </c>
      <c r="E136" s="129">
        <f>-D205</f>
        <v>-436.71</v>
      </c>
      <c r="F136" s="1">
        <v>17791.48</v>
      </c>
      <c r="G136" s="1">
        <v>2487.0100000000002</v>
      </c>
      <c r="H136" s="1"/>
      <c r="I136" s="45">
        <f t="shared" si="3"/>
        <v>-19841.78</v>
      </c>
    </row>
    <row r="137" spans="1:9" ht="14.45" customHeight="1">
      <c r="B137" s="35"/>
      <c r="C137" s="36"/>
      <c r="D137" s="37"/>
      <c r="E137" s="38"/>
    </row>
    <row r="138" spans="1:9" ht="16.5">
      <c r="A138" s="31" t="s">
        <v>133</v>
      </c>
      <c r="B138" s="32"/>
      <c r="C138" s="32" t="s">
        <v>134</v>
      </c>
      <c r="D138" s="40">
        <f>SUM(D140:D143)</f>
        <v>1013.92</v>
      </c>
      <c r="E138" s="38"/>
      <c r="I138" s="40">
        <f>SUM(I140:I145)</f>
        <v>1013.92</v>
      </c>
    </row>
    <row r="139" spans="1:9" ht="9.9499999999999993" customHeight="1">
      <c r="A139" s="31"/>
      <c r="B139" s="32"/>
      <c r="C139" s="39"/>
      <c r="D139" s="41"/>
      <c r="E139" s="38"/>
    </row>
    <row r="140" spans="1:9" ht="14.45" customHeight="1">
      <c r="B140" s="35" t="s">
        <v>135</v>
      </c>
      <c r="C140" s="36" t="s">
        <v>136</v>
      </c>
      <c r="D140" s="100">
        <f>IF(ISERROR(VLOOKUP(C140,[1]DesSin02.rpt!$A$1:$H$200,6,FALSE))=TRUE,0,VLOOKUP(C140,[1]DesSin02.rpt!$A$1:$H$200,6,FALSE))</f>
        <v>0</v>
      </c>
      <c r="E140" s="52"/>
      <c r="F140" s="1"/>
      <c r="G140" s="1"/>
      <c r="H140" s="1"/>
      <c r="I140" s="103">
        <f>D140-SUM(E140:H140)</f>
        <v>0</v>
      </c>
    </row>
    <row r="141" spans="1:9" ht="14.45" customHeight="1">
      <c r="B141" s="35" t="s">
        <v>137</v>
      </c>
      <c r="C141" s="36" t="s">
        <v>138</v>
      </c>
      <c r="D141" s="100">
        <f>IF(ISERROR(VLOOKUP(C141,[1]DesSin02.rpt!$A$1:$H$200,6,FALSE))=TRUE,0,VLOOKUP(C141,[1]DesSin02.rpt!$A$1:$H$200,6,FALSE))</f>
        <v>0</v>
      </c>
      <c r="E141" s="52"/>
      <c r="F141" s="1"/>
      <c r="G141" s="1"/>
      <c r="H141" s="1"/>
      <c r="I141" s="103">
        <f>D141-SUM(E141:H141)</f>
        <v>0</v>
      </c>
    </row>
    <row r="142" spans="1:9" ht="14.45" customHeight="1">
      <c r="B142" s="35" t="s">
        <v>139</v>
      </c>
      <c r="C142" s="36" t="s">
        <v>140</v>
      </c>
      <c r="D142" s="100">
        <f>IF(ISERROR(VLOOKUP(C142,[1]DesSin02.rpt!$A$1:$H$200,6,FALSE))=TRUE,0,VLOOKUP(C142,[1]DesSin02.rpt!$A$1:$H$200,6,FALSE))</f>
        <v>0</v>
      </c>
      <c r="E142" s="52"/>
      <c r="F142" s="1"/>
      <c r="G142" s="1"/>
      <c r="H142" s="1"/>
      <c r="I142" s="103">
        <f>D142-SUM(E142:H142)</f>
        <v>0</v>
      </c>
    </row>
    <row r="143" spans="1:9" ht="14.45" customHeight="1">
      <c r="B143" s="35" t="s">
        <v>141</v>
      </c>
      <c r="C143" s="36" t="s">
        <v>134</v>
      </c>
      <c r="D143" s="100">
        <f>IF(ISERROR(VLOOKUP(C143,[1]DesSin02.rpt!$A$1:$H$200,6,FALSE))=TRUE,0,VLOOKUP(C143,[1]DesSin02.rpt!$A$1:$H$200,6,FALSE))</f>
        <v>1013.92</v>
      </c>
      <c r="E143" s="52"/>
      <c r="F143" s="1"/>
      <c r="G143" s="1"/>
      <c r="H143" s="1"/>
      <c r="I143" s="43">
        <f>D143-SUM(E143:H143)</f>
        <v>1013.92</v>
      </c>
    </row>
    <row r="144" spans="1:9" ht="14.45" customHeight="1">
      <c r="B144" s="35" t="s">
        <v>552</v>
      </c>
      <c r="C144" s="36" t="s">
        <v>553</v>
      </c>
      <c r="D144" s="100">
        <f>IF(ISERROR(VLOOKUP(C144,[1]DesSin02.rpt!$A$1:$H$200,6,FALSE))=TRUE,0,VLOOKUP(C144,[1]DesSin02.rpt!$A$1:$H$200,6,FALSE))</f>
        <v>0</v>
      </c>
      <c r="E144" s="52"/>
      <c r="F144" s="1"/>
      <c r="G144" s="1"/>
      <c r="H144" s="1"/>
      <c r="I144" s="43">
        <f t="shared" ref="I144" si="4">D144-SUM(E144:H144)</f>
        <v>0</v>
      </c>
    </row>
    <row r="145" spans="1:11" ht="14.45" customHeight="1">
      <c r="B145" s="35"/>
      <c r="C145" s="36"/>
      <c r="D145" s="37"/>
      <c r="E145" s="38"/>
    </row>
    <row r="146" spans="1:11" ht="16.5">
      <c r="A146" s="31" t="s">
        <v>142</v>
      </c>
      <c r="B146" s="32"/>
      <c r="C146" s="32" t="s">
        <v>143</v>
      </c>
      <c r="D146" s="46">
        <f>SUM(D148:D178)</f>
        <v>32336.18</v>
      </c>
      <c r="E146" s="38"/>
      <c r="I146" s="46">
        <f>SUM(I148:I179)</f>
        <v>4566.3899999999985</v>
      </c>
    </row>
    <row r="147" spans="1:11" ht="9.9499999999999993" customHeight="1">
      <c r="A147" s="31"/>
      <c r="B147" s="32"/>
      <c r="C147" s="39"/>
      <c r="D147" s="34"/>
      <c r="E147" s="38"/>
    </row>
    <row r="148" spans="1:11" ht="14.45" customHeight="1">
      <c r="B148" s="35" t="s">
        <v>144</v>
      </c>
      <c r="C148" s="36" t="s">
        <v>407</v>
      </c>
      <c r="D148" s="100">
        <f>IF(ISERROR(VLOOKUP(C148,[1]DesSin02.rpt!$A$1:$H$200,6,FALSE))=TRUE,0,VLOOKUP(C211,[1]DesSin02.rpt!$A$1:$H$200,6,FALSE))</f>
        <v>0</v>
      </c>
      <c r="E148" s="53">
        <f>+D146-D156</f>
        <v>27769.79</v>
      </c>
      <c r="F148" s="1"/>
      <c r="G148" s="1"/>
      <c r="H148" s="1"/>
      <c r="I148" s="43">
        <f t="shared" ref="I148:I173" si="5">D148-SUM(E148:H148)</f>
        <v>-27769.79</v>
      </c>
      <c r="K148" s="107"/>
    </row>
    <row r="149" spans="1:11" ht="14.45" customHeight="1">
      <c r="B149" s="35" t="s">
        <v>146</v>
      </c>
      <c r="C149" s="36" t="s">
        <v>408</v>
      </c>
      <c r="D149" s="100">
        <f>IF(ISERROR(VLOOKUP(C149,[1]DesSin02.rpt!$A$1:$H$200,6,FALSE))=TRUE,0,VLOOKUP(C149,[1]DesSin02.rpt!$A$1:$H$200,6,FALSE))</f>
        <v>0</v>
      </c>
      <c r="E149" s="52"/>
      <c r="F149" s="1"/>
      <c r="G149" s="1"/>
      <c r="H149" s="1"/>
      <c r="I149" s="43">
        <f t="shared" si="5"/>
        <v>0</v>
      </c>
      <c r="K149" s="107"/>
    </row>
    <row r="150" spans="1:11" ht="14.45" customHeight="1">
      <c r="B150" s="35" t="s">
        <v>148</v>
      </c>
      <c r="C150" s="36" t="s">
        <v>11</v>
      </c>
      <c r="D150" s="100">
        <f>IF(ISERROR(VLOOKUP(C150,[1]DesSin02.rpt!$A$1:$H$200,6,FALSE))=TRUE,0,VLOOKUP(C150,[1]DesSin02.rpt!$A$1:$H$200,6,FALSE))</f>
        <v>0</v>
      </c>
      <c r="E150" s="52"/>
      <c r="F150" s="1"/>
      <c r="G150" s="1"/>
      <c r="H150" s="1"/>
      <c r="I150" s="103">
        <f t="shared" si="5"/>
        <v>0</v>
      </c>
      <c r="K150" s="107"/>
    </row>
    <row r="151" spans="1:11" ht="14.45" customHeight="1">
      <c r="B151" s="35" t="s">
        <v>149</v>
      </c>
      <c r="C151" s="36" t="s">
        <v>410</v>
      </c>
      <c r="D151" s="100">
        <f>IF(ISERROR(VLOOKUP(C151,[1]DesSin02.rpt!$A$1:$H$200,6,FALSE))=TRUE,0,VLOOKUP(C151,[1]DesSin02.rpt!$A$1:$H$200,6,FALSE))</f>
        <v>0</v>
      </c>
      <c r="E151" s="52"/>
      <c r="F151" s="1"/>
      <c r="G151" s="1"/>
      <c r="H151" s="1"/>
      <c r="I151" s="43">
        <f t="shared" si="5"/>
        <v>0</v>
      </c>
      <c r="K151" s="107"/>
    </row>
    <row r="152" spans="1:11" ht="14.45" customHeight="1">
      <c r="B152" s="35" t="s">
        <v>151</v>
      </c>
      <c r="C152" s="36" t="s">
        <v>152</v>
      </c>
      <c r="D152" s="100">
        <f>IF(ISERROR(VLOOKUP(C152,[1]DesSin02.rpt!$A$1:$H$200,6,FALSE))=TRUE,0,VLOOKUP(C152,[1]DesSin02.rpt!$A$1:$H$200,6,FALSE))</f>
        <v>4350</v>
      </c>
      <c r="E152" s="52"/>
      <c r="F152" s="1"/>
      <c r="G152" s="1"/>
      <c r="H152" s="1"/>
      <c r="I152" s="43">
        <f t="shared" si="5"/>
        <v>4350</v>
      </c>
      <c r="K152" s="107"/>
    </row>
    <row r="153" spans="1:11" ht="14.45" customHeight="1">
      <c r="B153" s="35" t="s">
        <v>153</v>
      </c>
      <c r="C153" s="36" t="s">
        <v>154</v>
      </c>
      <c r="D153" s="100">
        <f>IF(ISERROR(VLOOKUP(C153,[1]DesSin02.rpt!$A$1:$H$200,6,FALSE))=TRUE,0,VLOOKUP(C153,[1]DesSin02.rpt!$A$1:$H$200,6,FALSE))</f>
        <v>0</v>
      </c>
      <c r="E153" s="52"/>
      <c r="F153" s="1"/>
      <c r="G153" s="1"/>
      <c r="H153" s="1"/>
      <c r="I153" s="103">
        <f t="shared" si="5"/>
        <v>0</v>
      </c>
      <c r="K153" s="107"/>
    </row>
    <row r="154" spans="1:11" ht="14.45" customHeight="1">
      <c r="B154" s="35" t="s">
        <v>155</v>
      </c>
      <c r="C154" s="36" t="s">
        <v>156</v>
      </c>
      <c r="D154" s="100">
        <f>IF(ISERROR(VLOOKUP(C154,[1]DesSin02.rpt!$A$1:$H$200,6,FALSE))=TRUE,0,VLOOKUP(C154,[1]DesSin02.rpt!$A$1:$H$200,6,FALSE))</f>
        <v>0</v>
      </c>
      <c r="E154" s="52"/>
      <c r="F154" s="1"/>
      <c r="G154" s="1"/>
      <c r="H154" s="1"/>
      <c r="I154" s="103">
        <f t="shared" si="5"/>
        <v>0</v>
      </c>
      <c r="K154" s="107"/>
    </row>
    <row r="155" spans="1:11" ht="14.45" customHeight="1">
      <c r="B155" s="35" t="s">
        <v>157</v>
      </c>
      <c r="C155" s="36" t="s">
        <v>158</v>
      </c>
      <c r="D155" s="100">
        <f>IF(ISERROR(VLOOKUP(C155,[1]DesSin02.rpt!$A$1:$H$200,6,FALSE))=TRUE,0,VLOOKUP(C155,[1]DesSin02.rpt!$A$1:$H$200,6,FALSE))</f>
        <v>19779.37</v>
      </c>
      <c r="E155" s="52"/>
      <c r="F155" s="1"/>
      <c r="G155" s="1"/>
      <c r="H155" s="1"/>
      <c r="I155" s="43">
        <f t="shared" si="5"/>
        <v>19779.37</v>
      </c>
      <c r="K155" s="107"/>
    </row>
    <row r="156" spans="1:11" ht="14.45" customHeight="1">
      <c r="B156" s="35" t="s">
        <v>159</v>
      </c>
      <c r="C156" s="36" t="s">
        <v>160</v>
      </c>
      <c r="D156" s="101">
        <f>IF(ISERROR(VLOOKUP(C156,[1]DesSin02.rpt!$A$1:$H$200,6,FALSE))=TRUE,0,VLOOKUP(C156,[1]DesSin02.rpt!$A$1:$H$200,6,FALSE))</f>
        <v>4566.3900000000003</v>
      </c>
      <c r="E156" s="52"/>
      <c r="F156" s="1"/>
      <c r="G156" s="1"/>
      <c r="H156" s="1"/>
      <c r="I156" s="45">
        <f t="shared" si="5"/>
        <v>4566.3900000000003</v>
      </c>
      <c r="K156" s="107"/>
    </row>
    <row r="157" spans="1:11" ht="14.45" customHeight="1">
      <c r="B157" s="35" t="s">
        <v>161</v>
      </c>
      <c r="C157" s="36" t="s">
        <v>409</v>
      </c>
      <c r="D157" s="100">
        <f>IF(ISERROR(VLOOKUP(C157,[1]DesSin02.rpt!$A$1:$H$200,6,FALSE))=TRUE,0,VLOOKUP(C157,[1]DesSin02.rpt!$A$1:$H$200,6,FALSE))</f>
        <v>0</v>
      </c>
      <c r="E157" s="52"/>
      <c r="F157" s="1"/>
      <c r="G157" s="1"/>
      <c r="H157" s="1"/>
      <c r="I157" s="43">
        <f t="shared" si="5"/>
        <v>0</v>
      </c>
      <c r="K157" s="107"/>
    </row>
    <row r="158" spans="1:11" ht="14.45" customHeight="1">
      <c r="B158" s="35" t="s">
        <v>163</v>
      </c>
      <c r="C158" s="36" t="s">
        <v>164</v>
      </c>
      <c r="D158" s="56">
        <f>IF(ISERROR(VLOOKUP(C158,[1]DesSin02.rpt!$A$1:$H$200,6,FALSE))=TRUE,0,VLOOKUP(C158,[1]DesSin02.rpt!$A$1:$H$200,6,FALSE))</f>
        <v>0</v>
      </c>
      <c r="E158" s="52"/>
      <c r="F158" s="1"/>
      <c r="G158" s="1"/>
      <c r="H158" s="1"/>
      <c r="I158" s="43">
        <f t="shared" si="5"/>
        <v>0</v>
      </c>
      <c r="K158" s="107"/>
    </row>
    <row r="159" spans="1:11" ht="14.45" customHeight="1">
      <c r="B159" s="35" t="s">
        <v>165</v>
      </c>
      <c r="C159" s="36" t="s">
        <v>166</v>
      </c>
      <c r="D159" s="56">
        <f>IF(ISERROR(VLOOKUP(C159,[1]DesSin02.rpt!$A$1:$H$200,6,FALSE))=TRUE,0,VLOOKUP(C159,[1]DesSin02.rpt!$A$1:$H$200,6,FALSE))</f>
        <v>0</v>
      </c>
      <c r="E159" s="53"/>
      <c r="F159" s="1"/>
      <c r="G159" s="1"/>
      <c r="H159" s="1"/>
      <c r="I159" s="103">
        <f t="shared" si="5"/>
        <v>0</v>
      </c>
      <c r="K159" s="107"/>
    </row>
    <row r="160" spans="1:11" ht="14.45" customHeight="1">
      <c r="B160" s="35" t="s">
        <v>167</v>
      </c>
      <c r="C160" s="36" t="s">
        <v>168</v>
      </c>
      <c r="D160" s="100">
        <f>IF(ISERROR(VLOOKUP(C160,[1]DesSin02.rpt!$A$1:$H$200,6,FALSE))=TRUE,0,VLOOKUP(C160,[1]DesSin02.rpt!$A$1:$H$200,6,FALSE))</f>
        <v>0</v>
      </c>
      <c r="E160" s="52"/>
      <c r="F160" s="1"/>
      <c r="G160" s="1"/>
      <c r="H160" s="1"/>
      <c r="I160" s="103">
        <f t="shared" si="5"/>
        <v>0</v>
      </c>
      <c r="K160" s="107"/>
    </row>
    <row r="161" spans="2:11" ht="14.45" customHeight="1">
      <c r="B161" s="35" t="s">
        <v>169</v>
      </c>
      <c r="C161" s="36" t="s">
        <v>170</v>
      </c>
      <c r="D161" s="100">
        <f>IF(ISERROR(VLOOKUP(C161,[1]DesSin02.rpt!$A$1:$H$200,6,FALSE))=TRUE,0,VLOOKUP(C161,[1]DesSin02.rpt!$A$1:$H$200,6,FALSE))</f>
        <v>0</v>
      </c>
      <c r="E161" s="52"/>
      <c r="F161" s="1"/>
      <c r="G161" s="1"/>
      <c r="H161" s="1"/>
      <c r="I161" s="43">
        <f t="shared" si="5"/>
        <v>0</v>
      </c>
      <c r="K161" s="107"/>
    </row>
    <row r="162" spans="2:11" ht="14.45" customHeight="1">
      <c r="B162" s="35" t="s">
        <v>171</v>
      </c>
      <c r="C162" s="36" t="s">
        <v>257</v>
      </c>
      <c r="D162" s="100">
        <f>IF(ISERROR(VLOOKUP(C162,[1]DesSin02.rpt!$A$1:$H$200,6,FALSE))=TRUE,0,VLOOKUP(C162,[1]DesSin02.rpt!$A$1:$H$200,6,FALSE))</f>
        <v>0</v>
      </c>
      <c r="E162" s="52"/>
      <c r="F162" s="1"/>
      <c r="G162" s="1"/>
      <c r="H162" s="1"/>
      <c r="I162" s="43">
        <f t="shared" si="5"/>
        <v>0</v>
      </c>
      <c r="K162" s="107"/>
    </row>
    <row r="163" spans="2:11" ht="14.45" customHeight="1">
      <c r="B163" s="35" t="s">
        <v>172</v>
      </c>
      <c r="C163" s="36" t="s">
        <v>244</v>
      </c>
      <c r="D163" s="100">
        <f>IF(ISERROR(VLOOKUP(C163,[1]DesSin02.rpt!$A$1:$H$200,6,FALSE))=TRUE,0,VLOOKUP(C163,[1]DesSin02.rpt!$A$1:$H$200,6,FALSE))</f>
        <v>0</v>
      </c>
      <c r="E163" s="52"/>
      <c r="F163" s="1"/>
      <c r="G163" s="1"/>
      <c r="H163" s="1"/>
      <c r="I163" s="43">
        <f t="shared" si="5"/>
        <v>0</v>
      </c>
      <c r="K163" s="107"/>
    </row>
    <row r="164" spans="2:11" ht="14.45" customHeight="1">
      <c r="B164" s="35" t="s">
        <v>173</v>
      </c>
      <c r="C164" s="36" t="s">
        <v>529</v>
      </c>
      <c r="D164" s="111">
        <f>IF(ISERROR(VLOOKUP(C164,[1]DesSin02.rpt!$A$1:$H$200,6,FALSE))=TRUE,0,VLOOKUP(C164,[1]DesSin02.rpt!$A$1:$H$200,6,FALSE))</f>
        <v>0</v>
      </c>
      <c r="E164" s="52"/>
      <c r="F164" s="1"/>
      <c r="G164" s="1"/>
      <c r="H164" s="1"/>
      <c r="I164" s="103">
        <f t="shared" si="5"/>
        <v>0</v>
      </c>
      <c r="K164" s="107"/>
    </row>
    <row r="165" spans="2:11" ht="14.45" customHeight="1">
      <c r="B165" s="35" t="s">
        <v>175</v>
      </c>
      <c r="C165" s="36" t="s">
        <v>245</v>
      </c>
      <c r="D165" s="100">
        <f>IF(ISERROR(VLOOKUP(C165,[1]DesSin02.rpt!$A$1:$H$200,6,FALSE))=TRUE,0,VLOOKUP(C165,[1]DesSin02.rpt!$A$1:$H$200,6,FALSE))</f>
        <v>0</v>
      </c>
      <c r="E165" s="52"/>
      <c r="F165" s="1"/>
      <c r="G165" s="1"/>
      <c r="H165" s="1"/>
      <c r="I165" s="43">
        <f t="shared" si="5"/>
        <v>0</v>
      </c>
      <c r="K165" s="107"/>
    </row>
    <row r="166" spans="2:11" ht="14.45" customHeight="1">
      <c r="B166" s="35" t="s">
        <v>176</v>
      </c>
      <c r="C166" s="36" t="s">
        <v>177</v>
      </c>
      <c r="D166" s="100">
        <f>IF(ISERROR(VLOOKUP(C166,[1]DesSin02.rpt!$A$1:$H$200,6,FALSE))=TRUE,0,VLOOKUP(C166,[1]DesSin02.rpt!$A$1:$H$200,6,FALSE))</f>
        <v>0</v>
      </c>
      <c r="E166" s="52"/>
      <c r="F166" s="1"/>
      <c r="G166" s="1"/>
      <c r="H166" s="1"/>
      <c r="I166" s="103">
        <f t="shared" si="5"/>
        <v>0</v>
      </c>
      <c r="K166" s="107"/>
    </row>
    <row r="167" spans="2:11" ht="14.45" customHeight="1">
      <c r="B167" s="35" t="s">
        <v>178</v>
      </c>
      <c r="C167" s="36" t="s">
        <v>411</v>
      </c>
      <c r="D167" s="100">
        <f>IF(ISERROR(VLOOKUP(C167,[1]DesSin02.rpt!$A$1:$H$200,6,FALSE))=TRUE,0,VLOOKUP(C167,[1]DesSin02.rpt!$A$1:$H$200,6,FALSE))</f>
        <v>0</v>
      </c>
      <c r="E167" s="52"/>
      <c r="F167" s="1"/>
      <c r="G167" s="1"/>
      <c r="H167" s="1"/>
      <c r="I167" s="43">
        <f t="shared" si="5"/>
        <v>0</v>
      </c>
      <c r="K167" s="107"/>
    </row>
    <row r="168" spans="2:11" ht="14.45" customHeight="1">
      <c r="B168" s="35" t="s">
        <v>180</v>
      </c>
      <c r="C168" s="36" t="s">
        <v>554</v>
      </c>
      <c r="D168" s="100">
        <f>IF(ISERROR(VLOOKUP(C168,[1]DesSin02.rpt!$A$1:$H$200,6,FALSE))=TRUE,0,VLOOKUP(C168,[1]DesSin02.rpt!$A$1:$H$200,6,FALSE))</f>
        <v>0</v>
      </c>
      <c r="E168" s="52"/>
      <c r="F168" s="1"/>
      <c r="G168" s="1"/>
      <c r="H168" s="1"/>
      <c r="I168" s="103">
        <f t="shared" si="5"/>
        <v>0</v>
      </c>
      <c r="K168" s="107"/>
    </row>
    <row r="169" spans="2:11" ht="14.45" customHeight="1">
      <c r="B169" s="35" t="s">
        <v>181</v>
      </c>
      <c r="C169" s="36" t="s">
        <v>182</v>
      </c>
      <c r="D169" s="100">
        <f>IF(ISERROR(VLOOKUP(C169,[1]DesSin02.rpt!$A$1:$H$200,6,FALSE))=TRUE,0,VLOOKUP(C169,[1]DesSin02.rpt!$A$1:$H$200,6,FALSE))</f>
        <v>0</v>
      </c>
      <c r="E169" s="52"/>
      <c r="F169" s="1"/>
      <c r="G169" s="1"/>
      <c r="H169" s="1"/>
      <c r="I169" s="103">
        <f t="shared" si="5"/>
        <v>0</v>
      </c>
      <c r="K169" s="107"/>
    </row>
    <row r="170" spans="2:11" ht="14.45" customHeight="1">
      <c r="B170" s="35" t="s">
        <v>250</v>
      </c>
      <c r="C170" s="36" t="s">
        <v>259</v>
      </c>
      <c r="D170" s="100">
        <f>IF(ISERROR(VLOOKUP(C170,[1]DesSin02.rpt!$A$1:$H$200,6,FALSE))=TRUE,0,VLOOKUP(C170,[1]DesSin02.rpt!$A$1:$H$200,6,FALSE))</f>
        <v>0</v>
      </c>
      <c r="E170" s="52"/>
      <c r="F170" s="1"/>
      <c r="G170" s="1"/>
      <c r="H170" s="1"/>
      <c r="I170" s="43">
        <f t="shared" si="5"/>
        <v>0</v>
      </c>
      <c r="K170" s="107"/>
    </row>
    <row r="171" spans="2:11" ht="14.45" customHeight="1">
      <c r="B171" s="35" t="s">
        <v>258</v>
      </c>
      <c r="C171" s="36" t="s">
        <v>251</v>
      </c>
      <c r="D171" s="100">
        <f>IF(ISERROR(VLOOKUP(C171,[1]DesSin02.rpt!$A$1:$H$200,6,FALSE))=TRUE,0,VLOOKUP(C171,[1]DesSin02.rpt!$A$1:$H$200,6,FALSE))</f>
        <v>385</v>
      </c>
      <c r="E171" s="52"/>
      <c r="F171" s="1"/>
      <c r="G171" s="1"/>
      <c r="H171" s="1"/>
      <c r="I171" s="43">
        <f t="shared" si="5"/>
        <v>385</v>
      </c>
      <c r="K171" s="107"/>
    </row>
    <row r="172" spans="2:11" ht="14.45" customHeight="1">
      <c r="B172" s="105" t="s">
        <v>326</v>
      </c>
      <c r="C172" s="36" t="s">
        <v>404</v>
      </c>
      <c r="D172" s="100">
        <f>IF(ISERROR(VLOOKUP(C172,[1]DesSin02.rpt!$A$1:$H$200,6,FALSE))=TRUE,0,VLOOKUP(C172,[1]DesSin02.rpt!$A$1:$H$200,6,FALSE))</f>
        <v>0</v>
      </c>
      <c r="E172" s="52"/>
      <c r="F172" s="1"/>
      <c r="G172" s="1"/>
      <c r="H172" s="1"/>
      <c r="I172" s="43">
        <f t="shared" si="5"/>
        <v>0</v>
      </c>
      <c r="K172" s="107"/>
    </row>
    <row r="173" spans="2:11" ht="14.45" customHeight="1">
      <c r="B173" s="105" t="s">
        <v>464</v>
      </c>
      <c r="C173" s="36" t="s">
        <v>465</v>
      </c>
      <c r="D173" s="100">
        <f>IF(ISERROR(VLOOKUP(C173,[1]DesSin02.rpt!$A$1:$H$200,6,FALSE))=TRUE,0,VLOOKUP(C173,[1]DesSin02.rpt!$A$1:$H$200,6,FALSE))</f>
        <v>0</v>
      </c>
      <c r="E173" s="52"/>
      <c r="F173" s="1"/>
      <c r="G173" s="1"/>
      <c r="H173" s="1"/>
      <c r="I173" s="43">
        <f t="shared" si="5"/>
        <v>0</v>
      </c>
      <c r="K173" s="107"/>
    </row>
    <row r="174" spans="2:11" ht="14.45" customHeight="1">
      <c r="B174" s="174" t="s">
        <v>498</v>
      </c>
      <c r="C174" s="174" t="s">
        <v>499</v>
      </c>
      <c r="D174" s="100">
        <f>IF(ISERROR(VLOOKUP(C174,[1]DesSin02.rpt!$A$1:$H$200,6,FALSE))=TRUE,0,VLOOKUP(C174,[1]DesSin02.rpt!$A$1:$H$200,6,FALSE))</f>
        <v>0</v>
      </c>
      <c r="E174" s="52"/>
      <c r="F174" s="1"/>
      <c r="G174" s="1"/>
      <c r="H174" s="1"/>
      <c r="I174" s="43">
        <f t="shared" ref="I174:I177" si="6">D174-SUM(E174:H174)</f>
        <v>0</v>
      </c>
      <c r="K174" s="107"/>
    </row>
    <row r="175" spans="2:11" ht="14.45" customHeight="1">
      <c r="B175" s="174" t="s">
        <v>500</v>
      </c>
      <c r="C175" s="174" t="s">
        <v>501</v>
      </c>
      <c r="D175" s="100">
        <f>IF(ISERROR(VLOOKUP(C175,[1]DesSin02.rpt!$A$1:$H$200,6,FALSE))=TRUE,0,VLOOKUP(C175,[1]DesSin02.rpt!$A$1:$H$200,6,FALSE))</f>
        <v>0</v>
      </c>
      <c r="E175" s="52"/>
      <c r="F175" s="1"/>
      <c r="G175" s="1"/>
      <c r="H175" s="1"/>
      <c r="I175" s="43">
        <f t="shared" si="6"/>
        <v>0</v>
      </c>
      <c r="K175" s="107"/>
    </row>
    <row r="176" spans="2:11" ht="14.45" customHeight="1">
      <c r="B176" s="174" t="s">
        <v>502</v>
      </c>
      <c r="C176" s="174" t="s">
        <v>503</v>
      </c>
      <c r="D176" s="100">
        <f>IF(ISERROR(VLOOKUP(C176,[1]DesSin02.rpt!$A$1:$H$200,6,FALSE))=TRUE,0,VLOOKUP(C176,[1]DesSin02.rpt!$A$1:$H$200,6,FALSE))</f>
        <v>0</v>
      </c>
      <c r="E176" s="52"/>
      <c r="F176" s="1"/>
      <c r="G176" s="1"/>
      <c r="H176" s="1"/>
      <c r="I176" s="43">
        <f t="shared" si="6"/>
        <v>0</v>
      </c>
      <c r="K176" s="107"/>
    </row>
    <row r="177" spans="1:11" ht="14.45" customHeight="1">
      <c r="B177" s="174" t="s">
        <v>555</v>
      </c>
      <c r="C177" s="174" t="s">
        <v>556</v>
      </c>
      <c r="D177" s="100">
        <f>IF(ISERROR(VLOOKUP(C177,[1]DesSin02.rpt!$A$1:$H$200,6,FALSE))=TRUE,0,VLOOKUP(C177,[1]DesSin02.rpt!$A$1:$H$200,6,FALSE))</f>
        <v>0</v>
      </c>
      <c r="E177" s="52"/>
      <c r="F177" s="1"/>
      <c r="G177" s="1"/>
      <c r="H177" s="1"/>
      <c r="I177" s="43">
        <f t="shared" si="6"/>
        <v>0</v>
      </c>
      <c r="K177" s="107"/>
    </row>
    <row r="178" spans="1:11" ht="14.45" customHeight="1">
      <c r="B178" s="35" t="s">
        <v>183</v>
      </c>
      <c r="C178" s="36" t="s">
        <v>184</v>
      </c>
      <c r="D178" s="100">
        <f>IF(ISERROR(VLOOKUP(C178,[1]DesSin02.rpt!$A$1:$H$200,6,FALSE))=TRUE,0,VLOOKUP(C178,[1]DesSin02.rpt!$A$1:$H$200,6,FALSE))</f>
        <v>3255.42</v>
      </c>
      <c r="E178" s="64"/>
      <c r="F178" s="1"/>
      <c r="G178" s="1"/>
      <c r="H178" s="1"/>
      <c r="I178" s="43">
        <f t="shared" ref="I178" si="7">D178-SUM(E178:H178)</f>
        <v>3255.42</v>
      </c>
      <c r="K178" s="107"/>
    </row>
    <row r="179" spans="1:11" ht="14.45" customHeight="1">
      <c r="B179" s="35"/>
      <c r="C179" s="36"/>
      <c r="D179" s="37"/>
      <c r="E179" s="38"/>
    </row>
    <row r="180" spans="1:11" ht="16.5">
      <c r="A180" s="31" t="s">
        <v>185</v>
      </c>
      <c r="B180" s="32"/>
      <c r="C180" s="32" t="s">
        <v>186</v>
      </c>
      <c r="D180" s="46">
        <f>SUM(D182:D189)</f>
        <v>0</v>
      </c>
      <c r="E180" s="110"/>
      <c r="I180" s="46">
        <f>SUM(I182:I190)</f>
        <v>0</v>
      </c>
      <c r="J180" s="110"/>
    </row>
    <row r="181" spans="1:11" ht="9.9499999999999993" customHeight="1">
      <c r="A181" s="31"/>
      <c r="B181" s="32"/>
      <c r="C181" s="39"/>
      <c r="D181" s="34"/>
      <c r="E181" s="38"/>
    </row>
    <row r="182" spans="1:11" ht="14.45" customHeight="1">
      <c r="B182" s="35" t="s">
        <v>187</v>
      </c>
      <c r="C182" s="36" t="s">
        <v>188</v>
      </c>
      <c r="D182" s="100">
        <f>IF(ISERROR(VLOOKUP(C182,[1]DesSin02.rpt!$A$1:$H$200,6,FALSE))=TRUE,0,VLOOKUP(C182,[1]DesSin02.rpt!$A$1:$H$200,6,FALSE))</f>
        <v>0</v>
      </c>
      <c r="E182" s="52"/>
      <c r="F182" s="1"/>
      <c r="G182" s="1"/>
      <c r="H182" s="1"/>
      <c r="I182" s="103">
        <f t="shared" ref="I182:I189" si="8">D182-SUM(E182:H182)</f>
        <v>0</v>
      </c>
    </row>
    <row r="183" spans="1:11" ht="14.45" customHeight="1">
      <c r="B183" s="35" t="s">
        <v>189</v>
      </c>
      <c r="C183" s="36" t="s">
        <v>190</v>
      </c>
      <c r="D183" s="100">
        <f>IF(ISERROR(VLOOKUP(C183,[1]DesSin02.rpt!$A$1:$H$200,6,FALSE))=TRUE,0,VLOOKUP(C183,[1]DesSin02.rpt!$A$1:$H$200,6,FALSE))</f>
        <v>0</v>
      </c>
      <c r="E183" s="52"/>
      <c r="F183" s="1"/>
      <c r="G183" s="1"/>
      <c r="H183" s="1"/>
      <c r="I183" s="103">
        <f t="shared" si="8"/>
        <v>0</v>
      </c>
    </row>
    <row r="184" spans="1:11" ht="14.45" customHeight="1">
      <c r="B184" s="35" t="s">
        <v>191</v>
      </c>
      <c r="C184" s="36" t="s">
        <v>192</v>
      </c>
      <c r="D184" s="100">
        <f>IF(ISERROR(VLOOKUP(C184,[1]DesSin02.rpt!$A$1:$H$200,6,FALSE))=TRUE,0,VLOOKUP(C184,[1]DesSin02.rpt!$A$1:$H$200,6,FALSE))</f>
        <v>0</v>
      </c>
      <c r="E184" s="52"/>
      <c r="F184" s="1"/>
      <c r="G184" s="1"/>
      <c r="H184" s="1"/>
      <c r="I184" s="103">
        <f t="shared" si="8"/>
        <v>0</v>
      </c>
    </row>
    <row r="185" spans="1:11" ht="14.45" customHeight="1">
      <c r="B185" s="35" t="s">
        <v>193</v>
      </c>
      <c r="C185" s="36" t="s">
        <v>164</v>
      </c>
      <c r="D185" s="100">
        <f>IF(ISERROR(VLOOKUP(C185,[1]DesSin02.rpt!$A$1:$H$200,6,FALSE))=TRUE,0,VLOOKUP(C185,[1]DesSin02.rpt!$A$1:$H$200,6,FALSE))</f>
        <v>0</v>
      </c>
      <c r="E185" s="52"/>
      <c r="F185" s="1"/>
      <c r="G185" s="1"/>
      <c r="H185" s="1"/>
      <c r="I185" s="103">
        <f t="shared" si="8"/>
        <v>0</v>
      </c>
    </row>
    <row r="186" spans="1:11" ht="14.45" customHeight="1">
      <c r="B186" s="35" t="s">
        <v>194</v>
      </c>
      <c r="C186" s="36" t="s">
        <v>195</v>
      </c>
      <c r="D186" s="100">
        <f>IF(ISERROR(VLOOKUP(C186,[1]DesSin02.rpt!$A$1:$H$200,6,FALSE))=TRUE,0,VLOOKUP(C186,[1]DesSin02.rpt!$A$1:$H$200,6,FALSE))</f>
        <v>0</v>
      </c>
      <c r="E186" s="52"/>
      <c r="F186" s="1"/>
      <c r="G186" s="1"/>
      <c r="H186" s="1"/>
      <c r="I186" s="103">
        <f t="shared" si="8"/>
        <v>0</v>
      </c>
    </row>
    <row r="187" spans="1:11" ht="14.45" customHeight="1">
      <c r="B187" s="35" t="s">
        <v>196</v>
      </c>
      <c r="C187" s="36" t="s">
        <v>197</v>
      </c>
      <c r="D187" s="100">
        <f>IF(ISERROR(VLOOKUP(C187,[1]DesSin02.rpt!$A$1:$H$200,6,FALSE))=TRUE,0,VLOOKUP(C187,[1]DesSin02.rpt!$A$1:$H$200,6,FALSE))</f>
        <v>0</v>
      </c>
      <c r="E187" s="52"/>
      <c r="F187" s="1"/>
      <c r="G187" s="1"/>
      <c r="H187" s="1"/>
      <c r="I187" s="103">
        <f t="shared" si="8"/>
        <v>0</v>
      </c>
    </row>
    <row r="188" spans="1:11" ht="14.45" customHeight="1">
      <c r="B188" s="35" t="s">
        <v>198</v>
      </c>
      <c r="C188" s="36" t="s">
        <v>199</v>
      </c>
      <c r="D188" s="100">
        <f>IF(ISERROR(VLOOKUP(C188,[1]DesSin02.rpt!$A$1:$H$200,6,FALSE))=TRUE,0,VLOOKUP(C188,[1]DesSin02.rpt!$A$1:$H$200,6,FALSE))</f>
        <v>0</v>
      </c>
      <c r="E188" s="52"/>
      <c r="F188" s="1"/>
      <c r="G188" s="1"/>
      <c r="H188" s="1"/>
      <c r="I188" s="103">
        <f t="shared" si="8"/>
        <v>0</v>
      </c>
    </row>
    <row r="189" spans="1:11" ht="14.45" customHeight="1">
      <c r="B189" s="35" t="s">
        <v>380</v>
      </c>
      <c r="C189" s="36" t="s">
        <v>381</v>
      </c>
      <c r="D189" s="100">
        <f>IF(ISERROR(VLOOKUP(C189,[1]DesSin02.rpt!$A$1:$H$200,6,FALSE))=TRUE,0,VLOOKUP(C189,[1]DesSin02.rpt!$A$1:$H$200,6,FALSE))</f>
        <v>0</v>
      </c>
      <c r="E189" s="52"/>
      <c r="F189" s="1"/>
      <c r="G189" s="1"/>
      <c r="H189" s="1"/>
      <c r="I189" s="103">
        <f t="shared" si="8"/>
        <v>0</v>
      </c>
    </row>
    <row r="190" spans="1:11" ht="14.45" customHeight="1">
      <c r="B190" s="35"/>
      <c r="C190" s="36"/>
      <c r="D190" s="37"/>
      <c r="E190" s="38"/>
    </row>
    <row r="191" spans="1:11" ht="14.45" customHeight="1">
      <c r="A191" s="31" t="s">
        <v>200</v>
      </c>
      <c r="B191" s="32"/>
      <c r="C191" s="32" t="s">
        <v>201</v>
      </c>
      <c r="D191" s="115">
        <f>SUM(D193:D204)</f>
        <v>32331.96</v>
      </c>
      <c r="E191" s="110"/>
      <c r="I191" s="115">
        <f>SUM(I193:I204)</f>
        <v>32331.96</v>
      </c>
      <c r="J191" s="110"/>
    </row>
    <row r="192" spans="1:11" ht="9.9499999999999993" customHeight="1">
      <c r="A192" s="31"/>
      <c r="B192" s="32"/>
      <c r="C192" s="39"/>
      <c r="D192" s="34"/>
      <c r="E192" s="38"/>
    </row>
    <row r="193" spans="1:10" ht="14.45" customHeight="1">
      <c r="B193" s="35" t="s">
        <v>202</v>
      </c>
      <c r="C193" s="36" t="s">
        <v>203</v>
      </c>
      <c r="D193" s="101">
        <v>10561.44</v>
      </c>
      <c r="E193" s="52"/>
      <c r="F193" s="1"/>
      <c r="G193" s="1"/>
      <c r="H193" s="1"/>
      <c r="I193" s="45">
        <f t="shared" ref="I193:I202" si="9">D193-SUM(E193:H193)</f>
        <v>10561.44</v>
      </c>
    </row>
    <row r="194" spans="1:10" ht="14.45" customHeight="1">
      <c r="B194" s="35" t="s">
        <v>204</v>
      </c>
      <c r="C194" s="36" t="s">
        <v>205</v>
      </c>
      <c r="D194" s="117">
        <f>IF(ISERROR(VLOOKUP(C194,[1]DesSin02.rpt!$A$1:$H$200,6,FALSE))=TRUE,0,VLOOKUP(C194,[1]DesSin02.rpt!$A$1:$H$200,6,FALSE))</f>
        <v>0</v>
      </c>
      <c r="E194" s="52"/>
      <c r="F194" s="1"/>
      <c r="G194" s="1"/>
      <c r="H194" s="1"/>
      <c r="I194" s="45">
        <f t="shared" si="9"/>
        <v>0</v>
      </c>
    </row>
    <row r="195" spans="1:10" ht="14.45" customHeight="1">
      <c r="B195" s="35" t="s">
        <v>206</v>
      </c>
      <c r="C195" s="36" t="s">
        <v>207</v>
      </c>
      <c r="D195" s="117">
        <f>IF(ISERROR(VLOOKUP(C195,[1]DesSin02.rpt!$A$1:$H$200,6,FALSE))=TRUE,0,VLOOKUP(C195,[1]DesSin02.rpt!$A$1:$H$200,6,FALSE))</f>
        <v>0</v>
      </c>
      <c r="E195" s="52"/>
      <c r="F195" s="1"/>
      <c r="G195" s="1"/>
      <c r="H195" s="1"/>
      <c r="I195" s="45">
        <f t="shared" si="9"/>
        <v>0</v>
      </c>
    </row>
    <row r="196" spans="1:10" ht="14.45" customHeight="1">
      <c r="B196" s="35" t="s">
        <v>208</v>
      </c>
      <c r="C196" s="36" t="s">
        <v>209</v>
      </c>
      <c r="D196" s="101">
        <f>IF(ISERROR(VLOOKUP(C196,[1]DesSin02.rpt!$A$1:$H$200,6,FALSE))=TRUE,0,VLOOKUP(C196,[1]DesSin02.rpt!$A$1:$H$200,6,FALSE))</f>
        <v>0</v>
      </c>
      <c r="E196" s="52"/>
      <c r="F196" s="1"/>
      <c r="G196" s="1"/>
      <c r="H196" s="1"/>
      <c r="I196" s="45">
        <f t="shared" si="9"/>
        <v>0</v>
      </c>
    </row>
    <row r="197" spans="1:10" ht="14.45" customHeight="1">
      <c r="B197" s="35" t="s">
        <v>210</v>
      </c>
      <c r="C197" s="36" t="s">
        <v>211</v>
      </c>
      <c r="D197" s="117">
        <f>IF(ISERROR(VLOOKUP(C197,[1]DesSin02.rpt!$A$1:$H$200,6,FALSE))=TRUE,0,VLOOKUP(C197,[1]DesSin02.rpt!$A$1:$H$200,6,FALSE))</f>
        <v>0</v>
      </c>
      <c r="E197" s="52"/>
      <c r="F197" s="1"/>
      <c r="G197" s="1"/>
      <c r="H197" s="1"/>
      <c r="I197" s="45">
        <f t="shared" si="9"/>
        <v>0</v>
      </c>
    </row>
    <row r="198" spans="1:10" ht="14.45" customHeight="1">
      <c r="B198" s="105" t="s">
        <v>327</v>
      </c>
      <c r="C198" s="36" t="s">
        <v>294</v>
      </c>
      <c r="D198" s="117">
        <f>IF(ISERROR(VLOOKUP(C198,[1]DesSin02.rpt!$A$1:$H$200,6,FALSE))=TRUE,0,VLOOKUP(C198,[1]DesSin02.rpt!$A$1:$H$200,6,FALSE))</f>
        <v>0</v>
      </c>
      <c r="E198" s="52"/>
      <c r="F198" s="1"/>
      <c r="G198" s="1"/>
      <c r="H198" s="1"/>
      <c r="I198" s="45">
        <f t="shared" si="9"/>
        <v>0</v>
      </c>
    </row>
    <row r="199" spans="1:10" ht="14.45" customHeight="1">
      <c r="B199" s="105" t="s">
        <v>328</v>
      </c>
      <c r="C199" s="36" t="s">
        <v>295</v>
      </c>
      <c r="D199" s="44">
        <f>IF(ISERROR(VLOOKUP(C199,[1]DesSin02.rpt!$A$1:$H$200,6,FALSE))=TRUE,0,VLOOKUP(C199,[1]DesSin02.rpt!$A$1:$H$200,6,FALSE))</f>
        <v>0</v>
      </c>
      <c r="I199" s="45">
        <f t="shared" si="9"/>
        <v>0</v>
      </c>
    </row>
    <row r="200" spans="1:10" ht="14.45" customHeight="1">
      <c r="B200" s="105" t="s">
        <v>329</v>
      </c>
      <c r="C200" s="36" t="s">
        <v>330</v>
      </c>
      <c r="D200" s="123">
        <v>5234.5200000000004</v>
      </c>
      <c r="I200" s="45">
        <f t="shared" si="9"/>
        <v>5234.5200000000004</v>
      </c>
    </row>
    <row r="201" spans="1:10" ht="14.45" customHeight="1">
      <c r="B201" s="105" t="s">
        <v>331</v>
      </c>
      <c r="C201" s="36" t="s">
        <v>332</v>
      </c>
      <c r="D201" s="44">
        <v>16536</v>
      </c>
      <c r="I201" s="45">
        <f t="shared" si="9"/>
        <v>16536</v>
      </c>
    </row>
    <row r="202" spans="1:10" ht="14.45" customHeight="1">
      <c r="B202" s="105" t="s">
        <v>333</v>
      </c>
      <c r="C202" s="36" t="s">
        <v>334</v>
      </c>
      <c r="D202" s="44">
        <f>IF(ISERROR(VLOOKUP(C202,[1]DesSin02.rpt!$A$1:$H$200,6,FALSE))=TRUE,0,VLOOKUP(C202,[1]DesSin02.rpt!$A$1:$H$200,6,FALSE))</f>
        <v>0</v>
      </c>
      <c r="I202" s="45">
        <f t="shared" si="9"/>
        <v>0</v>
      </c>
    </row>
    <row r="203" spans="1:10" ht="14.45" customHeight="1">
      <c r="B203" s="174" t="s">
        <v>504</v>
      </c>
      <c r="C203" s="174" t="s">
        <v>505</v>
      </c>
      <c r="D203" s="44">
        <f>IF(ISERROR(VLOOKUP(C203,[1]DesSin02.rpt!$A$1:$H$200,6,FALSE))=TRUE,0,VLOOKUP(C203,[1]DesSin02.rpt!$A$1:$H$200,6,FALSE))</f>
        <v>0</v>
      </c>
      <c r="I203" s="45">
        <f t="shared" ref="I203" si="10">D203-SUM(E203:H203)</f>
        <v>0</v>
      </c>
    </row>
    <row r="204" spans="1:10" ht="14.45" customHeight="1">
      <c r="B204" s="35"/>
      <c r="C204" s="36"/>
      <c r="D204" s="37"/>
      <c r="E204" s="38"/>
    </row>
    <row r="205" spans="1:10" ht="16.5">
      <c r="A205" s="31" t="s">
        <v>212</v>
      </c>
      <c r="B205" s="32"/>
      <c r="C205" s="71" t="s">
        <v>213</v>
      </c>
      <c r="D205" s="115">
        <f>SUM(D207:D212)</f>
        <v>436.71</v>
      </c>
      <c r="E205" s="110"/>
      <c r="I205" s="115">
        <f>SUM(I207:I215)</f>
        <v>0</v>
      </c>
      <c r="J205" s="110"/>
    </row>
    <row r="206" spans="1:10" ht="9.9499999999999993" customHeight="1">
      <c r="A206" s="31"/>
      <c r="B206" s="32"/>
      <c r="C206" s="39"/>
      <c r="D206" s="34"/>
      <c r="E206" s="38"/>
    </row>
    <row r="207" spans="1:10" ht="14.45" customHeight="1">
      <c r="B207" s="105" t="s">
        <v>214</v>
      </c>
      <c r="C207" s="105" t="s">
        <v>291</v>
      </c>
      <c r="D207" s="111">
        <f>IF(ISERROR(VLOOKUP(C207,[1]DesSin02.rpt!$A$1:$H$200,6,FALSE))=TRUE,0,VLOOKUP(C207,[1]DesSin02.rpt!$A$1:$H$200,6,FALSE))</f>
        <v>0</v>
      </c>
      <c r="E207" s="53">
        <f>+D205</f>
        <v>436.71</v>
      </c>
      <c r="F207" s="1"/>
      <c r="G207" s="1"/>
      <c r="H207" s="1"/>
      <c r="I207" s="112">
        <f t="shared" ref="I207:I214" si="11">D207-SUM(E207:H207)</f>
        <v>-436.71</v>
      </c>
    </row>
    <row r="208" spans="1:10" ht="14.45" customHeight="1">
      <c r="B208" s="105" t="s">
        <v>215</v>
      </c>
      <c r="C208" s="105" t="s">
        <v>216</v>
      </c>
      <c r="D208" s="100">
        <f>IF(ISERROR(VLOOKUP(C208,[1]DesSin02.rpt!$A$1:$H$200,6,FALSE))=TRUE,0,VLOOKUP(C208,[1]DesSin02.rpt!$A$1:$H$200,6,FALSE))</f>
        <v>0</v>
      </c>
      <c r="E208" s="129"/>
      <c r="F208" s="1"/>
      <c r="G208" s="1"/>
      <c r="H208" s="1"/>
      <c r="I208" s="43">
        <f t="shared" si="11"/>
        <v>0</v>
      </c>
    </row>
    <row r="209" spans="1:11" ht="14.45" customHeight="1">
      <c r="B209" s="105" t="s">
        <v>217</v>
      </c>
      <c r="C209" s="105" t="s">
        <v>218</v>
      </c>
      <c r="D209" s="100">
        <f>IF(ISERROR(VLOOKUP(C209,[1]DesSin02.rpt!$A$1:$H$200,6,FALSE))=TRUE,0,VLOOKUP(C209,[1]DesSin02.rpt!$A$1:$H$200,6,FALSE))</f>
        <v>0</v>
      </c>
      <c r="E209" s="1"/>
      <c r="F209" s="1"/>
      <c r="G209" s="1"/>
      <c r="H209" s="1"/>
      <c r="I209" s="43">
        <f t="shared" si="11"/>
        <v>0</v>
      </c>
    </row>
    <row r="210" spans="1:11" ht="14.45" customHeight="1">
      <c r="B210" s="105" t="s">
        <v>219</v>
      </c>
      <c r="C210" s="105" t="s">
        <v>220</v>
      </c>
      <c r="D210" s="100">
        <f>IF(ISERROR(VLOOKUP(C210,[1]DesSin02.rpt!$A$1:$H$200,6,FALSE))=TRUE,0,VLOOKUP(C210,[1]DesSin02.rpt!$A$1:$H$200,6,FALSE))</f>
        <v>0</v>
      </c>
      <c r="E210" s="1"/>
      <c r="F210" s="1"/>
      <c r="G210" s="1"/>
      <c r="H210" s="1"/>
      <c r="I210" s="43">
        <f t="shared" si="11"/>
        <v>0</v>
      </c>
    </row>
    <row r="211" spans="1:11" ht="14.45" customHeight="1">
      <c r="B211" s="105" t="s">
        <v>221</v>
      </c>
      <c r="C211" s="105" t="s">
        <v>222</v>
      </c>
      <c r="D211" s="100">
        <f>IF(ISERROR(VLOOKUP(C211,[1]DesSin02.rpt!$A$1:$H$200,6,FALSE))=TRUE,0,VLOOKUP(C211,[1]DesSin02.rpt!$A$1:$H$200,6,FALSE))</f>
        <v>436.71</v>
      </c>
      <c r="E211" s="1"/>
      <c r="F211" s="1"/>
      <c r="G211" s="1"/>
      <c r="H211" s="1"/>
      <c r="I211" s="43">
        <f t="shared" si="11"/>
        <v>436.71</v>
      </c>
    </row>
    <row r="212" spans="1:11">
      <c r="B212" s="105" t="s">
        <v>335</v>
      </c>
      <c r="C212" s="105" t="s">
        <v>296</v>
      </c>
      <c r="D212" s="100">
        <f>IF(ISERROR(VLOOKUP(C212,[1]DesSin02.rpt!$A$1:$H$200,6,FALSE))=TRUE,0,VLOOKUP(C212,[1]DesSin02.rpt!$A$1:$H$200,6,FALSE))</f>
        <v>0</v>
      </c>
      <c r="E212" s="1"/>
      <c r="F212" s="1"/>
      <c r="G212" s="1"/>
      <c r="H212" s="1"/>
      <c r="I212" s="43">
        <f t="shared" si="11"/>
        <v>0</v>
      </c>
    </row>
    <row r="213" spans="1:11">
      <c r="B213" s="105" t="s">
        <v>557</v>
      </c>
      <c r="C213" s="105" t="s">
        <v>195</v>
      </c>
      <c r="D213" s="100">
        <f>IF(ISERROR(VLOOKUP(C213,[1]DesSin02.rpt!$A$1:$H$200,6,FALSE))=TRUE,0,VLOOKUP(C213,[1]DesSin02.rpt!$A$1:$H$200,6,FALSE))</f>
        <v>0</v>
      </c>
      <c r="E213" s="1"/>
      <c r="F213" s="1"/>
      <c r="G213" s="1"/>
      <c r="H213" s="1"/>
      <c r="I213" s="43">
        <f t="shared" si="11"/>
        <v>0</v>
      </c>
    </row>
    <row r="214" spans="1:11">
      <c r="B214" s="105" t="s">
        <v>558</v>
      </c>
      <c r="C214" s="105" t="s">
        <v>559</v>
      </c>
      <c r="D214" s="100">
        <f>IF(ISERROR(VLOOKUP(C214,[1]DesSin02.rpt!$A$1:$H$200,6,FALSE))=TRUE,0,VLOOKUP(C214,[1]DesSin02.rpt!$A$1:$H$200,6,FALSE))</f>
        <v>0</v>
      </c>
      <c r="E214" s="1"/>
      <c r="F214" s="1"/>
      <c r="G214" s="1"/>
      <c r="H214" s="1"/>
      <c r="I214" s="43">
        <f t="shared" si="11"/>
        <v>0</v>
      </c>
    </row>
    <row r="215" spans="1:11" ht="13.5">
      <c r="B215" s="29"/>
      <c r="C215" s="36"/>
      <c r="E215" s="1"/>
      <c r="F215" s="1"/>
      <c r="G215" s="1"/>
      <c r="H215" s="1"/>
    </row>
    <row r="216" spans="1:11" ht="16.5">
      <c r="B216" s="29"/>
      <c r="C216" s="71" t="s">
        <v>297</v>
      </c>
      <c r="D216" s="46">
        <f>D218</f>
        <v>0</v>
      </c>
      <c r="E216" s="1"/>
      <c r="F216" s="1"/>
      <c r="G216" s="1"/>
      <c r="H216" s="1"/>
      <c r="I216" s="46">
        <f>SUM(I217:I219)</f>
        <v>0</v>
      </c>
    </row>
    <row r="217" spans="1:11">
      <c r="B217" s="29"/>
      <c r="C217" s="104"/>
      <c r="D217" s="56"/>
      <c r="E217" s="1"/>
      <c r="F217" s="1"/>
      <c r="G217" s="1"/>
      <c r="H217" s="1"/>
      <c r="I217" s="103"/>
    </row>
    <row r="218" spans="1:11" ht="13.5">
      <c r="B218" s="105" t="s">
        <v>336</v>
      </c>
      <c r="C218" s="36" t="s">
        <v>297</v>
      </c>
      <c r="D218" s="111">
        <f>IF(ISERROR(VLOOKUP(C218,[1]DesSin02.rpt!$A$1:$H$200,6,FALSE))=TRUE,0,VLOOKUP(C218,[1]DesSin02.rpt!$A$1:$H$200,6,FALSE))</f>
        <v>0</v>
      </c>
      <c r="E218" s="1"/>
      <c r="F218" s="1"/>
      <c r="G218" s="1"/>
      <c r="H218" s="1"/>
      <c r="I218" s="103">
        <f>D218-SUM(E218:H218)</f>
        <v>0</v>
      </c>
    </row>
    <row r="219" spans="1:11" ht="13.5">
      <c r="B219" s="29"/>
      <c r="C219" s="36"/>
      <c r="D219" s="56"/>
      <c r="E219" s="1"/>
      <c r="F219" s="1"/>
      <c r="G219" s="1"/>
      <c r="H219" s="1"/>
      <c r="I219" s="103"/>
    </row>
    <row r="220" spans="1:11" ht="16.5">
      <c r="A220" s="31">
        <v>10</v>
      </c>
      <c r="B220" s="47"/>
      <c r="C220" s="71" t="s">
        <v>260</v>
      </c>
      <c r="D220" s="46">
        <f>SUM(D222:D224)</f>
        <v>2459.29</v>
      </c>
      <c r="I220" s="46">
        <f>SUM(I222:I225)</f>
        <v>2459.29</v>
      </c>
      <c r="K220" s="107"/>
    </row>
    <row r="221" spans="1:11">
      <c r="B221" s="35"/>
      <c r="C221" s="48"/>
      <c r="D221" s="100"/>
      <c r="I221" s="103"/>
    </row>
    <row r="222" spans="1:11" ht="13.5">
      <c r="B222" s="105" t="s">
        <v>337</v>
      </c>
      <c r="C222" s="36" t="s">
        <v>262</v>
      </c>
      <c r="D222" s="111">
        <f>IF(ISERROR(VLOOKUP(C222,[1]DesSin02.rpt!$A$1:$H$200,6,FALSE))=TRUE,0,VLOOKUP(C222,[1]DesSin02.rpt!$A$1:$H$200,6,FALSE))</f>
        <v>0</v>
      </c>
      <c r="E222" s="1"/>
      <c r="F222" s="1"/>
      <c r="G222" s="1"/>
      <c r="H222" s="1"/>
      <c r="I222" s="103">
        <f>D222-SUM(E222:H222)</f>
        <v>0</v>
      </c>
    </row>
    <row r="223" spans="1:11" ht="13.5">
      <c r="B223" s="105" t="s">
        <v>338</v>
      </c>
      <c r="C223" s="36" t="s">
        <v>263</v>
      </c>
      <c r="D223" s="111">
        <f>IF(ISERROR(VLOOKUP(C223,[1]DesSin02.rpt!$A$1:$H$200,6,FALSE))=TRUE,0,VLOOKUP(C223,[1]DesSin02.rpt!$A$1:$H$200,6,FALSE))</f>
        <v>0</v>
      </c>
      <c r="E223" s="1"/>
      <c r="F223" s="1"/>
      <c r="G223" s="1"/>
      <c r="H223" s="1"/>
      <c r="I223" s="103">
        <f>D223-SUM(E223:H223)</f>
        <v>0</v>
      </c>
    </row>
    <row r="224" spans="1:11" ht="13.5">
      <c r="B224" s="105" t="s">
        <v>382</v>
      </c>
      <c r="C224" s="36" t="s">
        <v>405</v>
      </c>
      <c r="D224" s="111">
        <f>IF(ISERROR(VLOOKUP(C224,[1]DesSin02.rpt!$A$1:$H$200,6,FALSE))=TRUE,0,VLOOKUP(C224,[1]DesSin02.rpt!$A$1:$H$200,6,FALSE))</f>
        <v>2459.29</v>
      </c>
      <c r="E224" s="1"/>
      <c r="F224" s="1"/>
      <c r="G224" s="1"/>
      <c r="H224" s="1"/>
      <c r="I224" s="103">
        <f>D224-SUM(E224:H224)</f>
        <v>2459.29</v>
      </c>
    </row>
    <row r="225" spans="2:9">
      <c r="B225" s="35"/>
      <c r="C225" s="48"/>
    </row>
    <row r="226" spans="2:9" ht="16.5">
      <c r="B226" s="106" t="s">
        <v>339</v>
      </c>
      <c r="C226" s="71" t="s">
        <v>530</v>
      </c>
      <c r="D226" s="34">
        <f>D228</f>
        <v>0</v>
      </c>
      <c r="I226" s="46">
        <f>SUM(I227:I229)</f>
        <v>0</v>
      </c>
    </row>
    <row r="227" spans="2:9">
      <c r="B227" s="104"/>
      <c r="C227" s="104"/>
    </row>
    <row r="228" spans="2:9">
      <c r="B228" s="105" t="s">
        <v>340</v>
      </c>
      <c r="C228" s="105" t="s">
        <v>531</v>
      </c>
      <c r="D228" s="177">
        <f>IF(ISERROR(VLOOKUP(C228,[1]DesSin02.rpt!$A$1:$H$200,6,FALSE))=TRUE,0,VLOOKUP(C228,[1]DesSin02.rpt!$A$1:$H$200,6,FALSE))</f>
        <v>0</v>
      </c>
      <c r="I228" s="103">
        <f>D228-SUM(E228:H228)</f>
        <v>0</v>
      </c>
    </row>
    <row r="229" spans="2:9">
      <c r="B229" s="105"/>
      <c r="C229" s="105"/>
    </row>
    <row r="230" spans="2:9" ht="16.5">
      <c r="B230" s="178">
        <v>13</v>
      </c>
      <c r="C230" s="71" t="s">
        <v>532</v>
      </c>
      <c r="D230" s="34">
        <f>D232</f>
        <v>0</v>
      </c>
      <c r="I230" s="46">
        <f>SUM(I231:I233)</f>
        <v>0</v>
      </c>
    </row>
    <row r="231" spans="2:9">
      <c r="B231" s="105"/>
      <c r="C231" s="105"/>
    </row>
    <row r="232" spans="2:9">
      <c r="B232" s="105" t="s">
        <v>341</v>
      </c>
      <c r="C232" s="105" t="s">
        <v>533</v>
      </c>
      <c r="D232" s="177">
        <f>IF(ISERROR(VLOOKUP(C232,[1]DesSin02.rpt!$A$1:$H$200,6,FALSE))=TRUE,0,VLOOKUP(C232,[1]DesSin02.rpt!$A$1:$H$200,6,FALSE))</f>
        <v>0</v>
      </c>
      <c r="I232" s="103">
        <f>D232-SUM(E232:H232)</f>
        <v>0</v>
      </c>
    </row>
    <row r="233" spans="2:9">
      <c r="B233" s="105"/>
      <c r="C233" s="105"/>
    </row>
    <row r="234" spans="2:9" ht="16.5">
      <c r="B234" s="106" t="s">
        <v>342</v>
      </c>
      <c r="C234" s="71" t="s">
        <v>343</v>
      </c>
      <c r="D234" s="46">
        <f>SUM(D236:D242)</f>
        <v>2278.6999999999998</v>
      </c>
      <c r="I234" s="119">
        <f>SUM(I236:I242)</f>
        <v>2278.6999999999998</v>
      </c>
    </row>
    <row r="235" spans="2:9">
      <c r="B235" s="104"/>
      <c r="C235" s="104"/>
    </row>
    <row r="236" spans="2:9">
      <c r="B236" s="105" t="s">
        <v>344</v>
      </c>
      <c r="C236" s="105" t="s">
        <v>145</v>
      </c>
      <c r="D236" s="100">
        <f>IF(ISERROR(VLOOKUP(C236,[1]DesSin02.rpt!$A$1:$H$200,6,FALSE))=TRUE,0,VLOOKUP(C236,[1]DesSin02.rpt!$A$1:$H$200,6,FALSE))</f>
        <v>2.75</v>
      </c>
      <c r="I236" s="103">
        <f t="shared" ref="I236:I241" si="12">D236-SUM(E236:H236)</f>
        <v>2.75</v>
      </c>
    </row>
    <row r="237" spans="2:9">
      <c r="B237" s="105" t="s">
        <v>345</v>
      </c>
      <c r="C237" s="105" t="s">
        <v>147</v>
      </c>
      <c r="D237" s="100">
        <f>IF(ISERROR(VLOOKUP(C237,[1]DesSin02.rpt!$A$1:$H$200,6,FALSE))=TRUE,0,VLOOKUP(C237,[1]DesSin02.rpt!$A$1:$H$200,6,FALSE))</f>
        <v>0</v>
      </c>
      <c r="I237" s="103">
        <f t="shared" si="12"/>
        <v>0</v>
      </c>
    </row>
    <row r="238" spans="2:9">
      <c r="B238" s="105" t="s">
        <v>346</v>
      </c>
      <c r="C238" s="105" t="s">
        <v>162</v>
      </c>
      <c r="D238" s="100">
        <f>IF(ISERROR(VLOOKUP(C238,[1]DesSin02.rpt!$A$1:$H$200,6,FALSE))=TRUE,0,VLOOKUP(C238,[1]DesSin02.rpt!$A$1:$H$200,6,FALSE))</f>
        <v>932.4</v>
      </c>
      <c r="I238" s="103">
        <f t="shared" si="12"/>
        <v>932.4</v>
      </c>
    </row>
    <row r="239" spans="2:9">
      <c r="B239" s="105" t="s">
        <v>347</v>
      </c>
      <c r="C239" s="105" t="s">
        <v>150</v>
      </c>
      <c r="D239" s="100">
        <f>IF(ISERROR(VLOOKUP(C239,[1]DesSin02.rpt!$A$1:$H$200,6,FALSE))=TRUE,0,VLOOKUP(C239,[1]DesSin02.rpt!$A$1:$H$200,6,FALSE))</f>
        <v>0</v>
      </c>
      <c r="I239" s="103">
        <f t="shared" si="12"/>
        <v>0</v>
      </c>
    </row>
    <row r="240" spans="2:9">
      <c r="B240" s="35" t="s">
        <v>383</v>
      </c>
      <c r="C240" s="114" t="s">
        <v>179</v>
      </c>
      <c r="D240" s="100">
        <f>IF(ISERROR(VLOOKUP(C240,[1]DesSin02.rpt!$A$1:$H$200,6,FALSE))=TRUE,0,VLOOKUP(C240,[1]DesSin02.rpt!$A$1:$H$200,6,FALSE))</f>
        <v>1343.55</v>
      </c>
      <c r="I240" s="103">
        <f t="shared" si="12"/>
        <v>1343.55</v>
      </c>
    </row>
    <row r="241" spans="1:9">
      <c r="B241" s="174" t="s">
        <v>506</v>
      </c>
      <c r="C241" s="174" t="s">
        <v>507</v>
      </c>
      <c r="D241" s="100">
        <f>IF(ISERROR(VLOOKUP(C241,[1]DesSin02.rpt!$A$1:$H$200,6,FALSE))=TRUE,0,VLOOKUP(C241,[1]DesSin02.rpt!$A$1:$H$200,6,FALSE))</f>
        <v>0</v>
      </c>
      <c r="I241" s="103">
        <f t="shared" si="12"/>
        <v>0</v>
      </c>
    </row>
    <row r="242" spans="1:9">
      <c r="B242" s="35"/>
      <c r="C242" s="48"/>
      <c r="I242" s="38"/>
    </row>
    <row r="243" spans="1:9" ht="16.5">
      <c r="B243" s="116" t="s">
        <v>384</v>
      </c>
      <c r="C243" s="71" t="s">
        <v>385</v>
      </c>
      <c r="D243" s="34">
        <f>SUM(D245:D248)</f>
        <v>0</v>
      </c>
      <c r="I243" s="115">
        <f>SUM(I245:I249)</f>
        <v>0</v>
      </c>
    </row>
    <row r="244" spans="1:9">
      <c r="B244" s="104"/>
      <c r="C244" s="104"/>
      <c r="I244" s="38"/>
    </row>
    <row r="245" spans="1:9">
      <c r="B245" s="105" t="s">
        <v>386</v>
      </c>
      <c r="C245" s="105" t="s">
        <v>390</v>
      </c>
      <c r="D245" s="100">
        <f>IF(ISERROR(VLOOKUP(C245,[1]DesSin02.rpt!$A$1:$H$200,6,FALSE))=TRUE,0,VLOOKUP(C245,[1]DesSin02.rpt!$A$1:$H$200,6,FALSE))</f>
        <v>0</v>
      </c>
      <c r="I245" s="103">
        <f>D245-SUM(E245:H245)</f>
        <v>0</v>
      </c>
    </row>
    <row r="246" spans="1:9">
      <c r="B246" s="105" t="s">
        <v>387</v>
      </c>
      <c r="C246" s="105" t="s">
        <v>391</v>
      </c>
      <c r="D246" s="100">
        <f>IF(ISERROR(VLOOKUP(C246,[1]DesSin02.rpt!$A$1:$H$200,6,FALSE))=TRUE,0,VLOOKUP(C246,[1]DesSin02.rpt!$A$1:$H$200,6,FALSE))</f>
        <v>0</v>
      </c>
      <c r="I246" s="103">
        <f>D246-SUM(E246:H246)</f>
        <v>0</v>
      </c>
    </row>
    <row r="247" spans="1:9">
      <c r="A247" s="31"/>
      <c r="B247" s="105" t="s">
        <v>388</v>
      </c>
      <c r="C247" s="105" t="s">
        <v>392</v>
      </c>
      <c r="D247" s="100">
        <f>IF(ISERROR(VLOOKUP(C247,[1]DesSin02.rpt!$A$1:$H$200,6,FALSE))=TRUE,0,VLOOKUP(C247,[1]DesSin02.rpt!$A$1:$H$200,6,FALSE))</f>
        <v>0</v>
      </c>
      <c r="I247" s="103">
        <f>D247-SUM(E247:H247)</f>
        <v>0</v>
      </c>
    </row>
    <row r="248" spans="1:9">
      <c r="B248" s="105" t="s">
        <v>389</v>
      </c>
      <c r="C248" s="105" t="s">
        <v>393</v>
      </c>
      <c r="D248" s="100">
        <f>IF(ISERROR(VLOOKUP(C248,[1]DesSin02.rpt!$A$1:$H$200,6,FALSE))=TRUE,0,VLOOKUP(C248,[1]DesSin02.rpt!$A$1:$H$200,6,FALSE))</f>
        <v>0</v>
      </c>
      <c r="I248" s="103">
        <f>D248-SUM(E248:H248)</f>
        <v>0</v>
      </c>
    </row>
    <row r="249" spans="1:9">
      <c r="B249" s="35"/>
      <c r="C249" s="48"/>
    </row>
    <row r="250" spans="1:9" ht="16.5">
      <c r="B250" s="116" t="s">
        <v>394</v>
      </c>
      <c r="C250" s="71" t="s">
        <v>395</v>
      </c>
      <c r="D250" s="34">
        <f>SUM(D252:D252)</f>
        <v>0</v>
      </c>
      <c r="I250" s="46">
        <f>SUM(I251:I253)</f>
        <v>0</v>
      </c>
    </row>
    <row r="251" spans="1:9">
      <c r="B251" s="104"/>
      <c r="C251" s="104"/>
      <c r="I251" s="38"/>
    </row>
    <row r="252" spans="1:9">
      <c r="B252" s="105" t="s">
        <v>396</v>
      </c>
      <c r="C252" s="105" t="s">
        <v>397</v>
      </c>
      <c r="D252" s="100">
        <f>IF(ISERROR(VLOOKUP(C252,[1]DesSin02.rpt!$A$1:$H$200,6,FALSE))=TRUE,0,VLOOKUP(C252,[1]DesSin02.rpt!$A$1:$H$200,6,FALSE))</f>
        <v>0</v>
      </c>
      <c r="I252" s="103">
        <f>D252-SUM(E252:H252)</f>
        <v>0</v>
      </c>
    </row>
    <row r="253" spans="1:9">
      <c r="B253" s="35"/>
      <c r="C253" s="48"/>
    </row>
    <row r="254" spans="1:9" ht="16.5">
      <c r="B254" s="116" t="s">
        <v>398</v>
      </c>
      <c r="C254" s="71" t="s">
        <v>399</v>
      </c>
      <c r="D254" s="34">
        <f>SUM(D256:D257)</f>
        <v>10199.799999999999</v>
      </c>
      <c r="I254" s="46">
        <f>SUM(I255:I258)</f>
        <v>10199.799999999999</v>
      </c>
    </row>
    <row r="255" spans="1:9">
      <c r="B255" s="104"/>
      <c r="C255" s="104"/>
      <c r="I255" s="38"/>
    </row>
    <row r="256" spans="1:9">
      <c r="B256" s="105" t="s">
        <v>400</v>
      </c>
      <c r="C256" s="105" t="s">
        <v>402</v>
      </c>
      <c r="D256" s="117">
        <f>IF(ISERROR(VLOOKUP(C256,[1]DesSin02.rpt!$A$1:$H$200,6,FALSE))=TRUE,0,VLOOKUP(C256,[1]DesSin02.rpt!$A$1:$H$200,6,FALSE))</f>
        <v>10199.799999999999</v>
      </c>
      <c r="I256" s="118">
        <f>D256-SUM(E256:H256)</f>
        <v>10199.799999999999</v>
      </c>
    </row>
    <row r="257" spans="1:9">
      <c r="B257" s="105" t="s">
        <v>401</v>
      </c>
      <c r="C257" s="105" t="s">
        <v>403</v>
      </c>
      <c r="D257" s="100">
        <f>IF(ISERROR(VLOOKUP(C257,[1]DesSin02.rpt!$A$1:$H$200,6,FALSE))=TRUE,0,VLOOKUP(C257,[1]DesSin02.rpt!$A$1:$H$200,6,FALSE))</f>
        <v>0</v>
      </c>
      <c r="I257" s="103">
        <f>D257-SUM(E257:H257)</f>
        <v>0</v>
      </c>
    </row>
    <row r="258" spans="1:9">
      <c r="B258" s="35"/>
      <c r="C258" s="48"/>
    </row>
    <row r="259" spans="1:9" ht="15.75">
      <c r="B259" s="175" t="s">
        <v>508</v>
      </c>
      <c r="C259" s="175" t="s">
        <v>509</v>
      </c>
      <c r="D259" s="46">
        <f>SUM(D261:D264)</f>
        <v>0</v>
      </c>
      <c r="I259" s="46">
        <f>SUM(I260:I264)</f>
        <v>0</v>
      </c>
    </row>
    <row r="260" spans="1:9">
      <c r="B260" s="104"/>
      <c r="C260" s="104"/>
      <c r="I260" s="38"/>
    </row>
    <row r="261" spans="1:9">
      <c r="B261" s="174" t="s">
        <v>510</v>
      </c>
      <c r="C261" s="174" t="s">
        <v>511</v>
      </c>
      <c r="D261" s="100">
        <f>IF(ISERROR(VLOOKUP(C261,[1]DesSin02.rpt!$A$1:$H$200,6,FALSE))=TRUE,0,VLOOKUP(C261,[1]DesSin02.rpt!$A$1:$H$200,6,FALSE))</f>
        <v>0</v>
      </c>
      <c r="I261" s="103">
        <f>D261-SUM(E261:H261)</f>
        <v>0</v>
      </c>
    </row>
    <row r="262" spans="1:9">
      <c r="A262" s="31"/>
      <c r="B262" s="174" t="s">
        <v>512</v>
      </c>
      <c r="C262" s="174" t="s">
        <v>513</v>
      </c>
      <c r="D262" s="100">
        <f>IF(ISERROR(VLOOKUP(C262,[1]DesSin02.rpt!$A$1:$H$200,6,FALSE))=TRUE,0,VLOOKUP(C262,[1]DesSin02.rpt!$A$1:$H$200,6,FALSE))</f>
        <v>0</v>
      </c>
      <c r="I262" s="103">
        <f>D262-SUM(E262:H262)</f>
        <v>0</v>
      </c>
    </row>
    <row r="263" spans="1:9">
      <c r="B263" s="174" t="s">
        <v>514</v>
      </c>
      <c r="C263" s="174" t="s">
        <v>515</v>
      </c>
      <c r="D263" s="100">
        <f>IF(ISERROR(VLOOKUP(C263,[1]DesSin02.rpt!$A$1:$H$200,6,FALSE))=TRUE,0,VLOOKUP(C263,[1]DesSin02.rpt!$A$1:$H$200,6,FALSE))</f>
        <v>0</v>
      </c>
      <c r="I263" s="103">
        <f>D263-SUM(E263:H263)</f>
        <v>0</v>
      </c>
    </row>
    <row r="264" spans="1:9">
      <c r="B264" s="35"/>
      <c r="C264" s="48"/>
    </row>
    <row r="265" spans="1:9" ht="15.75">
      <c r="B265" s="175" t="s">
        <v>516</v>
      </c>
      <c r="C265" s="175" t="s">
        <v>517</v>
      </c>
      <c r="D265" s="34">
        <f>SUM(D267:D267)</f>
        <v>0</v>
      </c>
      <c r="I265" s="46">
        <f>SUM(I266:I268)</f>
        <v>0</v>
      </c>
    </row>
    <row r="266" spans="1:9">
      <c r="B266" s="104"/>
      <c r="C266" s="104"/>
      <c r="I266" s="38"/>
    </row>
    <row r="267" spans="1:9">
      <c r="A267" s="31"/>
      <c r="B267" s="174" t="s">
        <v>518</v>
      </c>
      <c r="C267" s="174" t="s">
        <v>397</v>
      </c>
      <c r="D267" s="100">
        <f>IF(ISERROR(VLOOKUP(C267,[1]DesSin02.rpt!$A$1:$H$200,6,FALSE))=TRUE,0,VLOOKUP(C267,[1]DesSin02.rpt!$A$1:$H$200,6,FALSE))</f>
        <v>0</v>
      </c>
      <c r="I267" s="103">
        <f>D267-SUM(E267:H267)</f>
        <v>0</v>
      </c>
    </row>
    <row r="268" spans="1:9">
      <c r="B268" s="35"/>
      <c r="C268" s="48"/>
    </row>
    <row r="269" spans="1:9">
      <c r="B269" s="35"/>
      <c r="C269" s="48"/>
    </row>
    <row r="270" spans="1:9">
      <c r="B270" s="35"/>
      <c r="C270" s="48"/>
    </row>
    <row r="271" spans="1:9">
      <c r="B271" s="35"/>
      <c r="C271" s="48"/>
    </row>
    <row r="272" spans="1:9">
      <c r="B272" s="35"/>
      <c r="C272" s="48"/>
    </row>
    <row r="273" spans="1:3">
      <c r="B273" s="35"/>
      <c r="C273" s="48"/>
    </row>
    <row r="274" spans="1:3">
      <c r="A274" s="31"/>
      <c r="B274" s="47"/>
    </row>
    <row r="275" spans="1:3">
      <c r="B275" s="35"/>
      <c r="C275" s="48"/>
    </row>
    <row r="276" spans="1:3">
      <c r="B276" s="35"/>
      <c r="C276" s="48"/>
    </row>
    <row r="277" spans="1:3">
      <c r="B277" s="35"/>
      <c r="C277" s="48"/>
    </row>
    <row r="278" spans="1:3">
      <c r="B278" s="35"/>
      <c r="C278" s="48"/>
    </row>
    <row r="279" spans="1:3">
      <c r="A279" s="31"/>
      <c r="B279" s="47"/>
    </row>
    <row r="280" spans="1:3">
      <c r="B280" s="35"/>
      <c r="C280" s="48"/>
    </row>
    <row r="281" spans="1:3">
      <c r="B281" s="35"/>
      <c r="C281" s="48"/>
    </row>
    <row r="282" spans="1:3">
      <c r="B282" s="35"/>
      <c r="C282" s="48"/>
    </row>
    <row r="283" spans="1:3">
      <c r="B283" s="35"/>
      <c r="C283" s="48"/>
    </row>
    <row r="284" spans="1:3">
      <c r="B284" s="35"/>
      <c r="C284" s="48"/>
    </row>
    <row r="285" spans="1:3">
      <c r="B285" s="35"/>
      <c r="C285" s="48"/>
    </row>
    <row r="286" spans="1:3">
      <c r="B286" s="35"/>
      <c r="C286" s="48"/>
    </row>
    <row r="287" spans="1:3">
      <c r="B287" s="35"/>
      <c r="C287" s="48"/>
    </row>
    <row r="288" spans="1:3">
      <c r="B288" s="35"/>
      <c r="C288" s="48"/>
    </row>
    <row r="289" spans="1:3">
      <c r="B289" s="35"/>
      <c r="C289" s="48"/>
    </row>
    <row r="290" spans="1:3">
      <c r="B290" s="35"/>
      <c r="C290" s="48"/>
    </row>
    <row r="291" spans="1:3">
      <c r="B291" s="35"/>
      <c r="C291" s="48"/>
    </row>
    <row r="292" spans="1:3">
      <c r="B292" s="35"/>
      <c r="C292" s="48"/>
    </row>
    <row r="293" spans="1:3">
      <c r="A293" s="31"/>
      <c r="B293" s="47"/>
    </row>
    <row r="294" spans="1:3">
      <c r="B294" s="35"/>
      <c r="C294" s="48"/>
    </row>
    <row r="295" spans="1:3">
      <c r="A295" s="31"/>
      <c r="B295" s="47"/>
    </row>
    <row r="296" spans="1:3">
      <c r="B296" s="35"/>
      <c r="C296" s="48"/>
    </row>
    <row r="297" spans="1:3">
      <c r="B297" s="35"/>
      <c r="C297" s="48"/>
    </row>
    <row r="298" spans="1:3">
      <c r="B298" s="35"/>
      <c r="C298" s="48"/>
    </row>
    <row r="299" spans="1:3">
      <c r="B299" s="35"/>
      <c r="C299" s="48"/>
    </row>
    <row r="300" spans="1:3">
      <c r="B300" s="35"/>
      <c r="C300" s="48"/>
    </row>
    <row r="301" spans="1:3">
      <c r="B301" s="35"/>
      <c r="C301" s="48"/>
    </row>
    <row r="302" spans="1:3">
      <c r="B302" s="35"/>
      <c r="C302" s="48"/>
    </row>
    <row r="303" spans="1:3">
      <c r="B303" s="35"/>
      <c r="C303" s="48"/>
    </row>
    <row r="304" spans="1:3">
      <c r="B304" s="35"/>
      <c r="C304" s="48"/>
    </row>
    <row r="305" spans="2:3">
      <c r="B305" s="35"/>
      <c r="C305" s="48"/>
    </row>
    <row r="306" spans="2:3">
      <c r="B306" s="35"/>
      <c r="C306" s="48"/>
    </row>
    <row r="307" spans="2:3">
      <c r="B307" s="35"/>
      <c r="C307" s="48"/>
    </row>
    <row r="308" spans="2:3">
      <c r="B308" s="35"/>
      <c r="C308" s="48"/>
    </row>
    <row r="309" spans="2:3">
      <c r="B309" s="35"/>
      <c r="C309" s="48"/>
    </row>
    <row r="310" spans="2:3">
      <c r="B310" s="35"/>
      <c r="C310" s="48"/>
    </row>
    <row r="311" spans="2:3">
      <c r="B311" s="35"/>
      <c r="C311" s="48"/>
    </row>
    <row r="312" spans="2:3">
      <c r="B312" s="35"/>
      <c r="C312" s="48"/>
    </row>
    <row r="313" spans="2:3">
      <c r="B313" s="35"/>
      <c r="C313" s="48"/>
    </row>
    <row r="314" spans="2:3">
      <c r="B314" s="35"/>
      <c r="C314" s="48"/>
    </row>
    <row r="315" spans="2:3">
      <c r="B315" s="35"/>
      <c r="C315" s="48"/>
    </row>
    <row r="316" spans="2:3">
      <c r="B316" s="35"/>
      <c r="C316" s="48"/>
    </row>
    <row r="317" spans="2:3">
      <c r="B317" s="35"/>
      <c r="C317" s="48"/>
    </row>
    <row r="318" spans="2:3">
      <c r="B318" s="35"/>
      <c r="C318" s="48"/>
    </row>
    <row r="319" spans="2:3">
      <c r="B319" s="35"/>
      <c r="C319" s="48"/>
    </row>
    <row r="320" spans="2:3">
      <c r="B320" s="35"/>
      <c r="C320" s="48"/>
    </row>
    <row r="321" spans="1:1">
      <c r="A321" s="49"/>
    </row>
  </sheetData>
  <mergeCells count="1">
    <mergeCell ref="C1:D1"/>
  </mergeCells>
  <phoneticPr fontId="37" type="noConversion"/>
  <conditionalFormatting sqref="C1:D7">
    <cfRule type="expression" dxfId="0" priority="1" stopIfTrue="1">
      <formula>SUM($E$64:$H$197)&gt;0</formula>
    </cfRule>
  </conditionalFormatting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K78"/>
  <sheetViews>
    <sheetView topLeftCell="A37" zoomScale="120" zoomScaleNormal="120" workbookViewId="0">
      <selection activeCell="F40" sqref="F40"/>
    </sheetView>
  </sheetViews>
  <sheetFormatPr defaultColWidth="9.140625" defaultRowHeight="12.75"/>
  <cols>
    <col min="1" max="1" width="9.140625" style="2"/>
    <col min="2" max="2" width="9.140625" style="3"/>
    <col min="3" max="3" width="49.85546875" style="2" bestFit="1" customWidth="1"/>
    <col min="4" max="4" width="25.140625" style="2" customWidth="1"/>
    <col min="5" max="5" width="9.42578125" style="2" bestFit="1" customWidth="1"/>
    <col min="6" max="16384" width="9.140625" style="2"/>
  </cols>
  <sheetData>
    <row r="1" spans="1:11">
      <c r="B1" s="3" t="s">
        <v>223</v>
      </c>
      <c r="G1" s="4"/>
    </row>
    <row r="2" spans="1:11">
      <c r="G2" s="4"/>
    </row>
    <row r="3" spans="1:11">
      <c r="A3" s="5"/>
      <c r="B3" s="6"/>
      <c r="C3" s="5"/>
      <c r="D3" s="5"/>
      <c r="E3" s="5"/>
      <c r="F3" s="5"/>
      <c r="G3" s="4"/>
      <c r="H3" s="7"/>
      <c r="I3" s="7"/>
      <c r="J3" s="7"/>
      <c r="K3" s="7"/>
    </row>
    <row r="4" spans="1:11">
      <c r="G4" s="4"/>
    </row>
    <row r="5" spans="1:11" ht="20.25">
      <c r="A5" s="184"/>
      <c r="B5" s="185"/>
      <c r="C5" s="185"/>
      <c r="D5" s="185"/>
      <c r="E5" s="185"/>
      <c r="F5" s="186"/>
      <c r="G5" s="8"/>
      <c r="H5" s="8"/>
      <c r="I5" s="8"/>
      <c r="J5" s="8"/>
      <c r="K5" s="8"/>
    </row>
    <row r="7" spans="1:11" ht="19.5">
      <c r="A7" s="187" t="s">
        <v>290</v>
      </c>
      <c r="B7" s="187"/>
      <c r="C7" s="187"/>
      <c r="D7" s="187"/>
      <c r="E7" s="187"/>
      <c r="F7" s="187"/>
      <c r="G7" s="9"/>
      <c r="H7" s="9"/>
      <c r="I7" s="9"/>
      <c r="J7" s="9"/>
      <c r="K7" s="9"/>
    </row>
    <row r="8" spans="1:11" ht="13.5" thickBot="1"/>
    <row r="9" spans="1:11">
      <c r="A9" s="17"/>
      <c r="B9" s="18"/>
      <c r="C9" s="10" t="s">
        <v>224</v>
      </c>
      <c r="D9" s="11" t="s">
        <v>439</v>
      </c>
      <c r="E9" s="17"/>
      <c r="F9" s="17"/>
      <c r="G9" s="54"/>
    </row>
    <row r="10" spans="1:11" ht="15.75" customHeight="1">
      <c r="A10" s="17"/>
      <c r="B10" s="18">
        <v>1</v>
      </c>
      <c r="C10" s="108" t="s">
        <v>348</v>
      </c>
      <c r="D10" s="13">
        <f>' C O N T A S '!D15</f>
        <v>15446.72</v>
      </c>
      <c r="E10" s="14">
        <f t="shared" ref="E10:E17" si="0">+D10</f>
        <v>15446.72</v>
      </c>
      <c r="F10" s="17"/>
      <c r="G10" s="54"/>
    </row>
    <row r="11" spans="1:11">
      <c r="A11" s="17">
        <f>COUNT(B$9:B10)</f>
        <v>1</v>
      </c>
      <c r="B11" s="18">
        <f t="shared" ref="B11:B17" si="1">IF(D11=0,"",A11+1)</f>
        <v>2</v>
      </c>
      <c r="C11" s="108" t="s">
        <v>349</v>
      </c>
      <c r="D11" s="13">
        <f>' C O N T A S '!D16</f>
        <v>1544.56</v>
      </c>
      <c r="E11" s="14">
        <f t="shared" si="0"/>
        <v>1544.56</v>
      </c>
      <c r="F11" s="17"/>
      <c r="G11" s="54"/>
    </row>
    <row r="12" spans="1:11">
      <c r="A12" s="17">
        <f>COUNT(B$9:B11)</f>
        <v>2</v>
      </c>
      <c r="B12" s="18" t="str">
        <f t="shared" si="1"/>
        <v/>
      </c>
      <c r="C12" s="109" t="s">
        <v>519</v>
      </c>
      <c r="D12" s="13">
        <f>' C O N T A S '!D17</f>
        <v>0</v>
      </c>
      <c r="E12" s="14">
        <f t="shared" si="0"/>
        <v>0</v>
      </c>
      <c r="F12" s="17"/>
      <c r="G12" s="54"/>
    </row>
    <row r="13" spans="1:11">
      <c r="A13" s="17">
        <f>COUNT(B$9:B12)</f>
        <v>2</v>
      </c>
      <c r="B13" s="18">
        <f t="shared" si="1"/>
        <v>3</v>
      </c>
      <c r="C13" s="109" t="s">
        <v>367</v>
      </c>
      <c r="D13" s="13">
        <f>' C O N T A S '!D49</f>
        <v>2796.58</v>
      </c>
      <c r="E13" s="14">
        <f t="shared" si="0"/>
        <v>2796.58</v>
      </c>
      <c r="F13" s="17"/>
      <c r="G13" s="54"/>
    </row>
    <row r="14" spans="1:11">
      <c r="A14" s="17">
        <f>COUNT(B$9:B13)</f>
        <v>3</v>
      </c>
      <c r="B14" s="18" t="str">
        <f t="shared" si="1"/>
        <v/>
      </c>
      <c r="C14" s="109" t="s">
        <v>15</v>
      </c>
      <c r="D14" s="13">
        <f>' C O N T A S '!D20</f>
        <v>0</v>
      </c>
      <c r="E14" s="14">
        <f t="shared" si="0"/>
        <v>0</v>
      </c>
      <c r="F14" s="17"/>
      <c r="G14" s="54"/>
    </row>
    <row r="15" spans="1:11">
      <c r="A15" s="17">
        <f>COUNT(B$9:B14)</f>
        <v>3</v>
      </c>
      <c r="B15" s="18" t="str">
        <f t="shared" si="1"/>
        <v/>
      </c>
      <c r="C15" s="109" t="s">
        <v>19</v>
      </c>
      <c r="D15" s="13">
        <f>' C O N T A S '!D22</f>
        <v>0</v>
      </c>
      <c r="E15" s="14">
        <f t="shared" si="0"/>
        <v>0</v>
      </c>
      <c r="F15" s="17"/>
      <c r="G15" s="54"/>
    </row>
    <row r="16" spans="1:11">
      <c r="A16" s="17">
        <f>COUNT(B$9:B15)</f>
        <v>3</v>
      </c>
      <c r="B16" s="18" t="str">
        <f t="shared" si="1"/>
        <v/>
      </c>
      <c r="C16" s="109" t="s">
        <v>23</v>
      </c>
      <c r="D16" s="13">
        <f>' C O N T A S '!D24</f>
        <v>0</v>
      </c>
      <c r="E16" s="14">
        <f t="shared" si="0"/>
        <v>0</v>
      </c>
      <c r="F16" s="17"/>
      <c r="G16" s="54"/>
    </row>
    <row r="17" spans="1:7">
      <c r="A17" s="17">
        <f>COUNT(B$9:B16)</f>
        <v>3</v>
      </c>
      <c r="B17" s="18" t="str">
        <f t="shared" si="1"/>
        <v/>
      </c>
      <c r="C17" s="109" t="s">
        <v>317</v>
      </c>
      <c r="D17" s="13">
        <f>' C O N T A S '!D41</f>
        <v>0</v>
      </c>
      <c r="E17" s="14">
        <f t="shared" si="0"/>
        <v>0</v>
      </c>
      <c r="F17" s="17"/>
      <c r="G17" s="54"/>
    </row>
    <row r="18" spans="1:7">
      <c r="A18" s="17"/>
      <c r="B18" s="18"/>
      <c r="C18" s="57"/>
      <c r="D18" s="63"/>
      <c r="E18" s="14"/>
      <c r="F18" s="17"/>
      <c r="G18" s="54"/>
    </row>
    <row r="19" spans="1:7" ht="13.5" thickBot="1">
      <c r="A19" s="17"/>
      <c r="B19" s="18"/>
      <c r="C19" s="15" t="s">
        <v>226</v>
      </c>
      <c r="D19" s="16">
        <f>SUM(D10:D18)</f>
        <v>19787.86</v>
      </c>
      <c r="E19" s="17"/>
      <c r="F19" s="17"/>
      <c r="G19" s="54"/>
    </row>
    <row r="20" spans="1:7" ht="10.5" customHeight="1" thickBot="1">
      <c r="A20" s="17"/>
      <c r="B20" s="18"/>
      <c r="E20" s="17"/>
      <c r="F20" s="17"/>
      <c r="G20" s="54"/>
    </row>
    <row r="21" spans="1:7">
      <c r="A21" s="17"/>
      <c r="B21" s="18"/>
      <c r="C21" s="10" t="s">
        <v>227</v>
      </c>
      <c r="D21" s="11" t="s">
        <v>232</v>
      </c>
      <c r="E21" s="17"/>
      <c r="F21" s="17"/>
      <c r="G21" s="54"/>
    </row>
    <row r="22" spans="1:7" ht="15.75" customHeight="1">
      <c r="A22" s="17"/>
      <c r="B22" s="18">
        <v>1</v>
      </c>
      <c r="C22" s="108" t="s">
        <v>45</v>
      </c>
      <c r="D22" s="13">
        <f>' C O N T A S '!$I$64</f>
        <v>50680.229999999996</v>
      </c>
      <c r="E22" s="14">
        <f>D22/' P R E V I S Ã O  (2)'!$E$11</f>
        <v>4223.3525</v>
      </c>
      <c r="F22" s="17">
        <f>+D22/12</f>
        <v>4223.3525</v>
      </c>
      <c r="G22" s="54"/>
    </row>
    <row r="23" spans="1:7" ht="15.75" customHeight="1">
      <c r="A23" s="17">
        <f>COUNT(B$21:B22)</f>
        <v>1</v>
      </c>
      <c r="B23" s="18">
        <f>IF(D23&lt;0.01,"",A23+1)</f>
        <v>2</v>
      </c>
      <c r="C23" s="108" t="s">
        <v>75</v>
      </c>
      <c r="D23" s="13">
        <f>' C O N T A S '!$I$98+' C O N T A S '!$I$103</f>
        <v>9700.19</v>
      </c>
      <c r="E23" s="14">
        <f>D23/' P R E V I S Ã O  (2)'!$E$11</f>
        <v>808.34916666666675</v>
      </c>
      <c r="F23" s="17"/>
      <c r="G23" s="54"/>
    </row>
    <row r="24" spans="1:7">
      <c r="A24" s="17">
        <f>COUNT(B$21:B23)</f>
        <v>2</v>
      </c>
      <c r="B24" s="18">
        <f t="shared" ref="B24:B47" si="2">IF(D24&lt;0.01,"",A24+1)</f>
        <v>3</v>
      </c>
      <c r="C24" s="108" t="s">
        <v>77</v>
      </c>
      <c r="D24" s="13">
        <f>' C O N T A S '!$I$99</f>
        <v>59303.199999999997</v>
      </c>
      <c r="E24" s="14">
        <f>D24/' P R E V I S Ã O  (2)'!$E$11</f>
        <v>4941.9333333333334</v>
      </c>
      <c r="F24" s="17"/>
      <c r="G24" s="54"/>
    </row>
    <row r="25" spans="1:7">
      <c r="A25" s="17">
        <f>COUNT(B$21:B24)</f>
        <v>3</v>
      </c>
      <c r="B25" s="18" t="str">
        <f t="shared" si="2"/>
        <v/>
      </c>
      <c r="C25" s="108" t="s">
        <v>79</v>
      </c>
      <c r="D25" s="13">
        <f>' C O N T A S '!$I$100</f>
        <v>0</v>
      </c>
      <c r="E25" s="14">
        <f>D25/' P R E V I S Ã O  (2)'!$E$11</f>
        <v>0</v>
      </c>
      <c r="F25" s="17"/>
      <c r="G25" s="54"/>
    </row>
    <row r="26" spans="1:7">
      <c r="A26" s="17">
        <f>COUNT(B$21:B25)</f>
        <v>3</v>
      </c>
      <c r="B26" s="18" t="str">
        <f t="shared" si="2"/>
        <v/>
      </c>
      <c r="C26" s="108" t="s">
        <v>377</v>
      </c>
      <c r="D26" s="13">
        <f>' C O N T A S '!$I$104</f>
        <v>0</v>
      </c>
      <c r="E26" s="14">
        <f>D26/' P R E V I S Ã O  (2)'!$E$11</f>
        <v>0</v>
      </c>
      <c r="F26" s="17"/>
      <c r="G26" s="54"/>
    </row>
    <row r="27" spans="1:7">
      <c r="A27" s="17">
        <f>COUNT(B$21:B26)</f>
        <v>3</v>
      </c>
      <c r="B27" s="18">
        <f t="shared" si="2"/>
        <v>4</v>
      </c>
      <c r="C27" s="108" t="s">
        <v>107</v>
      </c>
      <c r="D27" s="13">
        <f>' C O N T A S '!$I$119</f>
        <v>2649.6</v>
      </c>
      <c r="E27" s="14">
        <f>D27/' P R E V I S Ã O  (2)'!$E$11</f>
        <v>220.79999999999998</v>
      </c>
      <c r="F27" s="17"/>
      <c r="G27" s="54"/>
    </row>
    <row r="28" spans="1:7">
      <c r="A28" s="17">
        <f>COUNT(B$21:B27)</f>
        <v>4</v>
      </c>
      <c r="B28" s="18">
        <f t="shared" si="2"/>
        <v>5</v>
      </c>
      <c r="C28" s="120" t="s">
        <v>438</v>
      </c>
      <c r="D28" s="13">
        <f>+' C O N T A S '!$I$108-' C O N T A S '!$I$119</f>
        <v>16806.940000000002</v>
      </c>
      <c r="E28" s="14">
        <f>D28/' P R E V I S Ã O  (2)'!$E$11</f>
        <v>1400.5783333333336</v>
      </c>
      <c r="F28" s="17"/>
      <c r="G28" s="54"/>
    </row>
    <row r="29" spans="1:7">
      <c r="A29" s="17">
        <f>COUNT(B$21:B28)</f>
        <v>5</v>
      </c>
      <c r="B29" s="18">
        <f t="shared" si="2"/>
        <v>6</v>
      </c>
      <c r="C29" s="108" t="s">
        <v>134</v>
      </c>
      <c r="D29" s="13">
        <f>' C O N T A S '!$I$138</f>
        <v>1013.92</v>
      </c>
      <c r="E29" s="14">
        <f>D29/' P R E V I S Ã O  (2)'!$E$11</f>
        <v>84.493333333333325</v>
      </c>
      <c r="F29" s="17"/>
      <c r="G29" s="54"/>
    </row>
    <row r="30" spans="1:7">
      <c r="A30" s="17">
        <f>COUNT(B$21:B29)</f>
        <v>6</v>
      </c>
      <c r="B30" s="18">
        <f t="shared" si="2"/>
        <v>7</v>
      </c>
      <c r="C30" s="108" t="s">
        <v>353</v>
      </c>
      <c r="D30" s="13">
        <f>' C O N T A S '!$I$156</f>
        <v>4566.3900000000003</v>
      </c>
      <c r="E30" s="14">
        <f>D30/' P R E V I S Ã O  (2)'!$E$11</f>
        <v>380.53250000000003</v>
      </c>
      <c r="F30" s="17"/>
      <c r="G30" s="54"/>
    </row>
    <row r="31" spans="1:7">
      <c r="A31" s="17">
        <f>COUNT(B$21:B30)</f>
        <v>7</v>
      </c>
      <c r="B31" s="18" t="str">
        <f t="shared" si="2"/>
        <v/>
      </c>
      <c r="C31" s="108" t="s">
        <v>354</v>
      </c>
      <c r="D31" s="13">
        <f>+' C O N T A S '!$I$146-' C O N T A S '!$I$150-' C O N T A S '!$I$153-' C O N T A S '!$I$154-' C O N T A S '!$I$156-' C O N T A S '!$I$159-' C O N T A S '!$I$160-' C O N T A S '!$I$164-' C O N T A S '!$I$166-' C O N T A S '!$I$168-' C O N T A S '!$I$169</f>
        <v>-1.8189894035458565E-12</v>
      </c>
      <c r="E31" s="14">
        <f>D31/' P R E V I S Ã O  (2)'!$E$11</f>
        <v>-1.5158245029548803E-13</v>
      </c>
      <c r="F31" s="17"/>
      <c r="G31" s="54"/>
    </row>
    <row r="32" spans="1:7">
      <c r="A32" s="17">
        <f>COUNT(B$21:B31)</f>
        <v>7</v>
      </c>
      <c r="B32" s="18">
        <f t="shared" si="2"/>
        <v>8</v>
      </c>
      <c r="C32" s="108" t="s">
        <v>350</v>
      </c>
      <c r="D32" s="13">
        <f>' C O N T A S '!$I$193</f>
        <v>10561.44</v>
      </c>
      <c r="E32" s="14">
        <f>D32/' P R E V I S Ã O  (2)'!$E$11</f>
        <v>880.12</v>
      </c>
      <c r="F32" s="17"/>
      <c r="G32" s="54"/>
    </row>
    <row r="33" spans="1:7">
      <c r="A33" s="17">
        <f>COUNT(B$21:B32)</f>
        <v>8</v>
      </c>
      <c r="B33" s="18" t="str">
        <f t="shared" si="2"/>
        <v/>
      </c>
      <c r="C33" s="108" t="s">
        <v>205</v>
      </c>
      <c r="D33" s="13">
        <f>' C O N T A S '!$I$194</f>
        <v>0</v>
      </c>
      <c r="E33" s="14">
        <f>D33/' P R E V I S Ã O  (2)'!$E$11</f>
        <v>0</v>
      </c>
      <c r="F33" s="17"/>
      <c r="G33" s="54"/>
    </row>
    <row r="34" spans="1:7">
      <c r="A34" s="17">
        <f>COUNT(B$21:B33)</f>
        <v>8</v>
      </c>
      <c r="B34" s="18" t="str">
        <f t="shared" si="2"/>
        <v/>
      </c>
      <c r="C34" s="108" t="s">
        <v>207</v>
      </c>
      <c r="D34" s="13">
        <f>' C O N T A S '!$I$195</f>
        <v>0</v>
      </c>
      <c r="E34" s="14">
        <f>D34/' P R E V I S Ã O  (2)'!$E$11</f>
        <v>0</v>
      </c>
      <c r="F34" s="17"/>
      <c r="G34" s="54"/>
    </row>
    <row r="35" spans="1:7">
      <c r="A35" s="17">
        <f>COUNT(B$21:B34)</f>
        <v>8</v>
      </c>
      <c r="B35" s="18" t="str">
        <f t="shared" si="2"/>
        <v/>
      </c>
      <c r="C35" s="108" t="s">
        <v>351</v>
      </c>
      <c r="D35" s="13">
        <f>' C O N T A S '!$I$196</f>
        <v>0</v>
      </c>
      <c r="E35" s="14">
        <f>D35/' P R E V I S Ã O  (2)'!$E$11</f>
        <v>0</v>
      </c>
      <c r="F35" s="17"/>
      <c r="G35" s="54"/>
    </row>
    <row r="36" spans="1:7">
      <c r="A36" s="17">
        <f>COUNT(B$21:B35)</f>
        <v>8</v>
      </c>
      <c r="B36" s="18" t="str">
        <f t="shared" si="2"/>
        <v/>
      </c>
      <c r="C36" s="108" t="s">
        <v>211</v>
      </c>
      <c r="D36" s="13">
        <f>' C O N T A S '!$I$197</f>
        <v>0</v>
      </c>
      <c r="E36" s="14">
        <f>D36/' P R E V I S Ã O  (2)'!$E$11</f>
        <v>0</v>
      </c>
      <c r="F36" s="17"/>
      <c r="G36" s="54"/>
    </row>
    <row r="37" spans="1:7">
      <c r="A37" s="17">
        <f>COUNT(B$21:B36)</f>
        <v>8</v>
      </c>
      <c r="B37" s="18" t="str">
        <f t="shared" si="2"/>
        <v/>
      </c>
      <c r="C37" s="108" t="s">
        <v>564</v>
      </c>
      <c r="D37" s="13">
        <f>' C O N T A S '!$I$198</f>
        <v>0</v>
      </c>
      <c r="E37" s="14">
        <f>D37/' P R E V I S Ã O  (2)'!$E$11</f>
        <v>0</v>
      </c>
      <c r="F37" s="17"/>
      <c r="G37" s="54"/>
    </row>
    <row r="38" spans="1:7">
      <c r="A38" s="17">
        <f>COUNT(B$21:B37)</f>
        <v>8</v>
      </c>
      <c r="B38" s="18" t="str">
        <f t="shared" si="2"/>
        <v/>
      </c>
      <c r="C38" s="108" t="s">
        <v>295</v>
      </c>
      <c r="D38" s="13">
        <f>' C O N T A S '!$I$199</f>
        <v>0</v>
      </c>
      <c r="E38" s="14">
        <f>D38/' P R E V I S Ã O  (2)'!$E$11</f>
        <v>0</v>
      </c>
      <c r="F38" s="17"/>
      <c r="G38" s="54"/>
    </row>
    <row r="39" spans="1:7">
      <c r="A39" s="17">
        <f>COUNT(B$21:B38)</f>
        <v>8</v>
      </c>
      <c r="B39" s="18">
        <f t="shared" si="2"/>
        <v>9</v>
      </c>
      <c r="C39" s="108" t="s">
        <v>608</v>
      </c>
      <c r="D39" s="13">
        <f>' C O N T A S '!$I$200</f>
        <v>5234.5200000000004</v>
      </c>
      <c r="E39" s="14">
        <f>D39/' P R E V I S Ã O  (2)'!$E$11</f>
        <v>436.21000000000004</v>
      </c>
      <c r="F39" s="17"/>
      <c r="G39" s="54"/>
    </row>
    <row r="40" spans="1:7">
      <c r="A40" s="17">
        <f>COUNT(B$21:B39)</f>
        <v>9</v>
      </c>
      <c r="B40" s="18">
        <f t="shared" si="2"/>
        <v>10</v>
      </c>
      <c r="C40" s="108" t="s">
        <v>332</v>
      </c>
      <c r="D40" s="13">
        <f>' C O N T A S '!$I$201</f>
        <v>16536</v>
      </c>
      <c r="E40" s="14">
        <f>D40/' P R E V I S Ã O  (2)'!$E$11</f>
        <v>1378</v>
      </c>
      <c r="F40" s="17"/>
      <c r="G40" s="54"/>
    </row>
    <row r="41" spans="1:7">
      <c r="A41" s="17">
        <f>COUNT(B$21:B40)</f>
        <v>10</v>
      </c>
      <c r="B41" s="18" t="str">
        <f t="shared" si="2"/>
        <v/>
      </c>
      <c r="C41" s="108" t="s">
        <v>352</v>
      </c>
      <c r="D41" s="13">
        <f>' C O N T A S '!$I$202</f>
        <v>0</v>
      </c>
      <c r="E41" s="14">
        <f>D41/' P R E V I S Ã O  (2)'!$E$11</f>
        <v>0</v>
      </c>
      <c r="F41" s="17"/>
      <c r="G41" s="54"/>
    </row>
    <row r="42" spans="1:7">
      <c r="A42" s="17">
        <f>COUNT(B$21:B41)</f>
        <v>10</v>
      </c>
      <c r="B42" s="18" t="str">
        <f t="shared" si="2"/>
        <v/>
      </c>
      <c r="C42" s="108" t="s">
        <v>505</v>
      </c>
      <c r="D42" s="13">
        <f>' C O N T A S '!$I$203</f>
        <v>0</v>
      </c>
      <c r="E42" s="14">
        <f>D42/' P R E V I S Ã O  (2)'!$E$11</f>
        <v>0</v>
      </c>
      <c r="F42" s="17"/>
      <c r="G42" s="54"/>
    </row>
    <row r="43" spans="1:7">
      <c r="A43" s="17">
        <f>COUNT(B$21:B42)</f>
        <v>10</v>
      </c>
      <c r="B43" s="18" t="str">
        <f t="shared" si="2"/>
        <v/>
      </c>
      <c r="C43" s="113" t="s">
        <v>213</v>
      </c>
      <c r="D43" s="13">
        <f>+' C O N T A S '!$I$205</f>
        <v>0</v>
      </c>
      <c r="E43" s="14">
        <f>D43/' P R E V I S Ã O  (2)'!$E$11</f>
        <v>0</v>
      </c>
      <c r="F43" s="17"/>
      <c r="G43" s="54"/>
    </row>
    <row r="44" spans="1:7">
      <c r="A44" s="17">
        <f>COUNT(B$21:B43)</f>
        <v>10</v>
      </c>
      <c r="B44" s="18">
        <f t="shared" si="2"/>
        <v>11</v>
      </c>
      <c r="C44" s="113" t="s">
        <v>343</v>
      </c>
      <c r="D44" s="13">
        <f>+' C O N T A S '!I234</f>
        <v>2278.6999999999998</v>
      </c>
      <c r="E44" s="14">
        <f>D44/' P R E V I S Ã O  (2)'!$E$11</f>
        <v>189.89166666666665</v>
      </c>
      <c r="F44" s="17"/>
      <c r="G44" s="54"/>
    </row>
    <row r="45" spans="1:7">
      <c r="A45" s="17">
        <f>COUNT(B$21:B44)</f>
        <v>11</v>
      </c>
      <c r="B45" s="18">
        <f t="shared" si="2"/>
        <v>12</v>
      </c>
      <c r="C45" s="113" t="s">
        <v>402</v>
      </c>
      <c r="D45" s="13">
        <f>+' C O N T A S '!$I$256</f>
        <v>10199.799999999999</v>
      </c>
      <c r="E45" s="14">
        <f>D45/' P R E V I S Ã O  (2)'!$E$11</f>
        <v>849.98333333333323</v>
      </c>
      <c r="F45" s="17"/>
      <c r="G45" s="54"/>
    </row>
    <row r="46" spans="1:7">
      <c r="A46" s="17">
        <f>COUNT(B$21:B45)</f>
        <v>12</v>
      </c>
      <c r="B46" s="18" t="str">
        <f t="shared" si="2"/>
        <v/>
      </c>
      <c r="C46" s="108"/>
      <c r="D46" s="13"/>
      <c r="E46" s="14">
        <f>D46/' P R E V I S Ã O  (2)'!$E$11</f>
        <v>0</v>
      </c>
      <c r="F46" s="17"/>
      <c r="G46" s="54"/>
    </row>
    <row r="47" spans="1:7">
      <c r="A47" s="17">
        <f>COUNT(B$21:B46)</f>
        <v>12</v>
      </c>
      <c r="B47" s="18" t="str">
        <f t="shared" si="2"/>
        <v/>
      </c>
      <c r="C47" s="12"/>
      <c r="D47" s="19"/>
      <c r="E47" s="14">
        <f>D47/' P R E V I S Ã O  (2)'!$E$11</f>
        <v>0</v>
      </c>
      <c r="F47" s="17"/>
      <c r="G47" s="54"/>
    </row>
    <row r="48" spans="1:7">
      <c r="C48" s="20" t="s">
        <v>228</v>
      </c>
      <c r="D48" s="21">
        <f>SUM(D22:D47)</f>
        <v>189530.93000000002</v>
      </c>
      <c r="E48" s="14" t="s">
        <v>406</v>
      </c>
      <c r="F48" s="17">
        <f>+D48/12</f>
        <v>15794.244166666669</v>
      </c>
      <c r="G48" s="54"/>
    </row>
    <row r="49" spans="2:7" ht="18" customHeight="1">
      <c r="B49" s="18">
        <v>99</v>
      </c>
      <c r="C49" s="12" t="str">
        <f>"PREVISÃO DE INFLAÇÃO  -  " &amp; E49*100 &amp; " %"</f>
        <v>PREVISÃO DE INFLAÇÃO  -  10 %</v>
      </c>
      <c r="D49" s="13">
        <f>D48*E49</f>
        <v>18953.093000000004</v>
      </c>
      <c r="E49" s="79">
        <f>' P R E V I S Ã O  (2)'!F48</f>
        <v>0.1</v>
      </c>
      <c r="F49" s="17"/>
      <c r="G49" s="54"/>
    </row>
    <row r="50" spans="2:7" ht="10.5" customHeight="1">
      <c r="C50" s="12"/>
      <c r="D50" s="19"/>
      <c r="E50" s="17"/>
      <c r="F50" s="17"/>
      <c r="G50" s="54"/>
    </row>
    <row r="51" spans="2:7" ht="13.5" thickBot="1">
      <c r="C51" s="15" t="s">
        <v>226</v>
      </c>
      <c r="D51" s="16">
        <f>D48+D49</f>
        <v>208484.02300000002</v>
      </c>
      <c r="E51" s="14">
        <f>D51/' P R E V I S Ã O  (2)'!$E$11</f>
        <v>17373.668583333336</v>
      </c>
      <c r="F51" s="17"/>
      <c r="G51" s="54"/>
    </row>
    <row r="52" spans="2:7" ht="10.5" customHeight="1" thickBot="1">
      <c r="E52" s="17"/>
      <c r="F52" s="17"/>
      <c r="G52" s="54"/>
    </row>
    <row r="53" spans="2:7" ht="13.5" thickBot="1">
      <c r="C53" s="22" t="str">
        <f>IF(D53&lt;0,"SALDO ( DÉFICIT )","SALDO ( SUPERÁVIT )")</f>
        <v>SALDO ( DÉFICIT )</v>
      </c>
      <c r="D53" s="102">
        <f>D19-D51</f>
        <v>-188696.163</v>
      </c>
      <c r="E53" s="14">
        <f>D53/' P R E V I S Ã O  (2)'!$E$11</f>
        <v>-15724.680249999999</v>
      </c>
      <c r="F53" s="17"/>
      <c r="G53" s="54"/>
    </row>
    <row r="54" spans="2:7" ht="11.25" customHeight="1"/>
    <row r="55" spans="2:7" ht="19.5" customHeight="1">
      <c r="D55" s="107">
        <f>+D48/12</f>
        <v>15794.244166666669</v>
      </c>
    </row>
    <row r="56" spans="2:7">
      <c r="D56" s="107"/>
    </row>
    <row r="58" spans="2:7">
      <c r="D58" s="107"/>
    </row>
    <row r="67" spans="1:6" ht="15.75">
      <c r="B67" s="23" t="s">
        <v>231</v>
      </c>
      <c r="C67" s="24"/>
      <c r="D67" s="25" t="s">
        <v>230</v>
      </c>
    </row>
    <row r="72" spans="1:6" ht="15.75">
      <c r="A72" s="27"/>
      <c r="B72" s="60"/>
      <c r="C72" s="61"/>
      <c r="D72" s="62"/>
      <c r="E72" s="27"/>
      <c r="F72" s="27"/>
    </row>
    <row r="73" spans="1:6">
      <c r="C73" s="26"/>
    </row>
    <row r="74" spans="1:6">
      <c r="A74" s="7"/>
      <c r="B74" s="59"/>
      <c r="C74" s="7"/>
      <c r="D74" s="7"/>
      <c r="E74" s="7"/>
      <c r="F74" s="7"/>
    </row>
    <row r="75" spans="1:6">
      <c r="A75" s="7"/>
      <c r="B75" s="59"/>
      <c r="C75" s="7"/>
      <c r="D75" s="7"/>
      <c r="E75" s="7"/>
      <c r="F75" s="7"/>
    </row>
    <row r="76" spans="1:6">
      <c r="A76" s="7"/>
      <c r="B76" s="59"/>
      <c r="C76" s="7"/>
      <c r="D76" s="7"/>
      <c r="E76" s="7"/>
      <c r="F76" s="7"/>
    </row>
    <row r="77" spans="1:6">
      <c r="A77" s="7"/>
      <c r="B77" s="59"/>
      <c r="C77" s="7"/>
      <c r="D77" s="7"/>
      <c r="E77" s="7"/>
      <c r="F77" s="7"/>
    </row>
    <row r="78" spans="1:6">
      <c r="A78" s="7"/>
      <c r="B78" s="59"/>
      <c r="C78" s="7"/>
      <c r="D78" s="7"/>
      <c r="E78" s="7"/>
      <c r="F78" s="7"/>
    </row>
  </sheetData>
  <mergeCells count="2">
    <mergeCell ref="A5:F5"/>
    <mergeCell ref="A7:F7"/>
  </mergeCells>
  <phoneticPr fontId="37" type="noConversion"/>
  <pageMargins left="0.39370078740157483" right="0.39370078740157483" top="0.19685039370078741" bottom="0.19685039370078741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>
    <pageSetUpPr fitToPage="1"/>
  </sheetPr>
  <dimension ref="A2:K169"/>
  <sheetViews>
    <sheetView tabSelected="1" zoomScale="130" zoomScaleNormal="130" workbookViewId="0">
      <selection activeCell="G66" sqref="G66"/>
    </sheetView>
  </sheetViews>
  <sheetFormatPr defaultColWidth="9.140625" defaultRowHeight="12.75"/>
  <cols>
    <col min="1" max="1" width="10.140625" style="136" bestFit="1" customWidth="1"/>
    <col min="2" max="2" width="9.140625" style="137"/>
    <col min="3" max="3" width="41.85546875" style="136" customWidth="1"/>
    <col min="4" max="4" width="26.5703125" style="136" customWidth="1"/>
    <col min="5" max="5" width="21" style="136" customWidth="1"/>
    <col min="6" max="6" width="8.7109375" style="136" customWidth="1"/>
    <col min="7" max="7" width="10.85546875" style="136" customWidth="1"/>
    <col min="8" max="8" width="12" style="136" customWidth="1"/>
    <col min="9" max="16384" width="9.140625" style="136"/>
  </cols>
  <sheetData>
    <row r="2" spans="1:11">
      <c r="B2" s="137" t="s">
        <v>223</v>
      </c>
      <c r="G2" s="138"/>
    </row>
    <row r="3" spans="1:11">
      <c r="G3" s="138"/>
    </row>
    <row r="4" spans="1:11">
      <c r="A4" s="139"/>
      <c r="B4" s="140"/>
      <c r="C4" s="139"/>
      <c r="D4" s="139"/>
      <c r="E4" s="139"/>
      <c r="F4" s="138"/>
      <c r="G4" s="138"/>
      <c r="H4" s="138"/>
      <c r="I4" s="138"/>
      <c r="J4" s="138"/>
      <c r="K4" s="138"/>
    </row>
    <row r="5" spans="1:11">
      <c r="G5" s="138"/>
    </row>
    <row r="6" spans="1:11" ht="25.5">
      <c r="A6" s="188" t="str">
        <f>VLOOKUP(Cadastro!A4,Cadastro!B3:C145,2,FALSE)</f>
        <v>COND. ED. RESIDENCIAL BARRAMARES XX</v>
      </c>
      <c r="B6" s="189"/>
      <c r="C6" s="189"/>
      <c r="D6" s="189"/>
      <c r="E6" s="190"/>
      <c r="F6" s="141"/>
      <c r="G6" s="142"/>
      <c r="H6" s="142"/>
      <c r="I6" s="142"/>
      <c r="J6" s="142"/>
      <c r="K6" s="142"/>
    </row>
    <row r="8" spans="1:11" ht="19.5">
      <c r="A8" s="192" t="s">
        <v>606</v>
      </c>
      <c r="B8" s="192"/>
      <c r="C8" s="192"/>
      <c r="D8" s="192"/>
      <c r="E8" s="192"/>
      <c r="F8" s="143"/>
      <c r="G8" s="144"/>
      <c r="H8" s="144"/>
      <c r="I8" s="144"/>
      <c r="J8" s="144"/>
      <c r="K8" s="144"/>
    </row>
    <row r="9" spans="1:11" ht="13.5" thickBot="1"/>
    <row r="10" spans="1:11" ht="13.5" thickBot="1">
      <c r="A10" s="133"/>
      <c r="B10" s="134"/>
      <c r="C10" s="164" t="s">
        <v>224</v>
      </c>
      <c r="D10" s="165" t="s">
        <v>225</v>
      </c>
      <c r="E10" s="135"/>
      <c r="F10" s="135"/>
    </row>
    <row r="11" spans="1:11" ht="15.75" customHeight="1">
      <c r="A11" s="133"/>
      <c r="B11" s="134">
        <v>1</v>
      </c>
      <c r="C11" s="162" t="s">
        <v>348</v>
      </c>
      <c r="D11" s="163">
        <f>IF(ISERROR(VLOOKUP(B11,' P R E V I S Ã O '!$B$10:$E$18,4,FALSE)=TRUE),"",VLOOKUP(B11,' P R E V I S Ã O '!$B$10:$E$18,4,FALSE))</f>
        <v>15446.72</v>
      </c>
      <c r="E11" s="146">
        <v>12</v>
      </c>
      <c r="F11" s="147">
        <v>1</v>
      </c>
    </row>
    <row r="12" spans="1:11" ht="15.75" customHeight="1">
      <c r="A12" s="133"/>
      <c r="B12" s="134">
        <v>2</v>
      </c>
      <c r="C12" s="148" t="str">
        <f>IF(ISERROR(VLOOKUP(B12,' P R E V I S Ã O '!B$10:D$18,2,FALSE)=TRUE),"",VLOOKUP(B12,' P R E V I S Ã O '!$B$10:$D$18,2,FALSE))</f>
        <v>Fundo de Reserva</v>
      </c>
      <c r="D12" s="145">
        <f>IF(ISERROR(VLOOKUP(B12,' P R E V I S Ã O '!$B$10:$E$18,4,FALSE)=TRUE),"",VLOOKUP(B12,' P R E V I S Ã O '!$B$10:$E$18,4,FALSE))</f>
        <v>1544.56</v>
      </c>
      <c r="E12" s="146"/>
      <c r="F12" s="147">
        <v>2</v>
      </c>
    </row>
    <row r="13" spans="1:11" ht="15.75" customHeight="1">
      <c r="A13" s="133"/>
      <c r="B13" s="134">
        <v>3</v>
      </c>
      <c r="C13" s="148" t="str">
        <f>IF(ISERROR(VLOOKUP(B13,' P R E V I S Ã O '!B$10:D$18,2,FALSE)=TRUE),"",VLOOKUP(B13,' P R E V I S Ã O '!$B$10:$D$18,2,FALSE))</f>
        <v>Água</v>
      </c>
      <c r="D13" s="145">
        <f>IF(ISERROR(VLOOKUP(B13,' P R E V I S Ã O '!$B$10:$E$18,4,FALSE)=TRUE),"",VLOOKUP(B13,' P R E V I S Ã O '!$B$10:$E$18,4,FALSE))</f>
        <v>2796.58</v>
      </c>
      <c r="E13" s="146"/>
      <c r="F13" s="147">
        <v>3</v>
      </c>
    </row>
    <row r="14" spans="1:11" ht="15.75" hidden="1" customHeight="1">
      <c r="A14" s="133"/>
      <c r="B14" s="134">
        <v>4</v>
      </c>
      <c r="C14" s="148" t="str">
        <f>IF(ISERROR(VLOOKUP(B14,' P R E V I S Ã O '!B$10:D$18,2,FALSE)=TRUE),"",VLOOKUP(B14,' P R E V I S Ã O '!$B$10:$D$18,2,FALSE))</f>
        <v/>
      </c>
      <c r="D14" s="145" t="str">
        <f>IF(ISERROR(VLOOKUP(B14,' P R E V I S Ã O '!$B$10:$E$18,4,FALSE)=TRUE),"",VLOOKUP(B14,' P R E V I S Ã O '!$B$10:$E$18,4,FALSE))</f>
        <v/>
      </c>
      <c r="E14" s="146"/>
      <c r="F14" s="147">
        <v>4</v>
      </c>
    </row>
    <row r="15" spans="1:11" ht="15.75" hidden="1" customHeight="1">
      <c r="A15" s="133"/>
      <c r="B15" s="134">
        <v>5</v>
      </c>
      <c r="C15" s="148" t="str">
        <f>IF(ISERROR(VLOOKUP(B15,' P R E V I S Ã O '!B$10:D$18,2,FALSE)=TRUE),"",VLOOKUP(B15,' P R E V I S Ã O '!$B$10:$D$18,2,FALSE))</f>
        <v/>
      </c>
      <c r="D15" s="145" t="str">
        <f>IF(ISERROR(VLOOKUP(B15,' P R E V I S Ã O '!$B$10:$E$18,4,FALSE)=TRUE),"",VLOOKUP(B15,' P R E V I S Ã O '!$B$10:$E$18,4,FALSE))</f>
        <v/>
      </c>
      <c r="E15" s="146"/>
      <c r="F15" s="147">
        <v>5</v>
      </c>
    </row>
    <row r="16" spans="1:11" ht="15.75" hidden="1" customHeight="1">
      <c r="A16" s="133"/>
      <c r="B16" s="134">
        <v>6</v>
      </c>
      <c r="C16" s="148" t="str">
        <f>IF(ISERROR(VLOOKUP(B16,' P R E V I S Ã O '!B$10:D$18,2,FALSE)=TRUE),"",VLOOKUP(B16,' P R E V I S Ã O '!$B$10:$D$18,2,FALSE))</f>
        <v/>
      </c>
      <c r="D16" s="145" t="str">
        <f>IF(ISERROR(VLOOKUP(B16,' P R E V I S Ã O '!$B$10:$E$18,4,FALSE)=TRUE),"",VLOOKUP(B16,' P R E V I S Ã O '!$B$10:$E$18,4,FALSE))</f>
        <v/>
      </c>
      <c r="E16" s="146"/>
      <c r="F16" s="147">
        <v>6</v>
      </c>
    </row>
    <row r="17" spans="1:6" ht="15.75" hidden="1" customHeight="1">
      <c r="A17" s="133"/>
      <c r="B17" s="134">
        <v>7</v>
      </c>
      <c r="C17" s="148" t="str">
        <f>IF(ISERROR(VLOOKUP(B17,' P R E V I S Ã O '!B$10:D$18,2,FALSE)=TRUE),"",VLOOKUP(B17,' P R E V I S Ã O '!$B$10:$D$18,2,FALSE))</f>
        <v/>
      </c>
      <c r="D17" s="145" t="str">
        <f>IF(ISERROR(VLOOKUP(B17,' P R E V I S Ã O '!$B$10:$E$18,4,FALSE)=TRUE),"",VLOOKUP(B17,' P R E V I S Ã O '!$B$10:$E$18,4,FALSE))</f>
        <v/>
      </c>
      <c r="E17" s="146"/>
      <c r="F17" s="147">
        <v>7</v>
      </c>
    </row>
    <row r="18" spans="1:6" ht="13.5" thickBot="1">
      <c r="A18" s="133"/>
      <c r="B18" s="134">
        <v>8</v>
      </c>
      <c r="C18" s="148" t="str">
        <f>IF(ISERROR(VLOOKUP(B18,' P R E V I S Ã O '!B$10:D$18,2,FALSE)=TRUE),"",VLOOKUP(B18,' P R E V I S Ã O '!$B$10:$D$18,2,FALSE))</f>
        <v/>
      </c>
      <c r="D18" s="145" t="str">
        <f>IF(ISERROR(VLOOKUP(B18,' P R E V I S Ã O '!$B$10:$E$18,4,FALSE)=TRUE),"",VLOOKUP(B18,' P R E V I S Ã O '!$B$10:$E$18,4,FALSE))</f>
        <v/>
      </c>
      <c r="E18" s="133"/>
      <c r="F18" s="147">
        <v>8</v>
      </c>
    </row>
    <row r="19" spans="1:6" ht="13.5" thickBot="1">
      <c r="A19" s="133"/>
      <c r="B19" s="134"/>
      <c r="C19" s="154" t="s">
        <v>226</v>
      </c>
      <c r="D19" s="155">
        <f>SUM(D11:D18)</f>
        <v>19787.86</v>
      </c>
      <c r="E19" s="133"/>
      <c r="F19" s="147">
        <v>9</v>
      </c>
    </row>
    <row r="20" spans="1:6" ht="10.5" customHeight="1" thickBot="1">
      <c r="A20" s="133"/>
      <c r="B20" s="134"/>
      <c r="E20" s="133"/>
      <c r="F20" s="147">
        <v>10</v>
      </c>
    </row>
    <row r="21" spans="1:6" ht="13.5" thickBot="1">
      <c r="A21" s="133"/>
      <c r="B21" s="134"/>
      <c r="C21" s="168" t="s">
        <v>227</v>
      </c>
      <c r="D21" s="168" t="s">
        <v>225</v>
      </c>
      <c r="E21" s="133"/>
      <c r="F21" s="147">
        <v>11</v>
      </c>
    </row>
    <row r="22" spans="1:6" ht="15.75" customHeight="1">
      <c r="A22" s="133"/>
      <c r="B22" s="134">
        <v>1</v>
      </c>
      <c r="C22" s="169" t="str">
        <f>IF(ISERROR(VLOOKUP(B22,' P R E V I S Ã O '!$B$22:$D$47,2,FALSE)=TRUE),"",VLOOKUP(B22,' P R E V I S Ã O '!$B$22:$D$47,2,FALSE))</f>
        <v>Despesas com Pessoal</v>
      </c>
      <c r="D22" s="163">
        <f>IF(ISERROR(VLOOKUP(B22,' P R E V I S Ã O '!$B$22:$E$47,4,FALSE)=TRUE),"",VLOOKUP(B22,' P R E V I S Ã O '!$B$22:$E$47,4,FALSE))</f>
        <v>4223.3525</v>
      </c>
      <c r="E22" s="133"/>
      <c r="F22" s="147">
        <v>12</v>
      </c>
    </row>
    <row r="23" spans="1:6">
      <c r="A23" s="133"/>
      <c r="B23" s="134">
        <v>2</v>
      </c>
      <c r="C23" s="148" t="str">
        <f>IF(ISERROR(VLOOKUP(B23,' P R E V I S Ã O '!$B$22:$D$47,2,FALSE)=TRUE),"",VLOOKUP(B23,' P R E V I S Ã O '!$B$22:$D$47,2,FALSE))</f>
        <v>Luz do Condomínio</v>
      </c>
      <c r="D23" s="145">
        <f>IF(ISERROR(VLOOKUP(B23,' P R E V I S Ã O '!$B$22:$E$47,4,FALSE)=TRUE),"",VLOOKUP(B23,' P R E V I S Ã O '!$B$22:$E$47,4,FALSE))</f>
        <v>808.34916666666675</v>
      </c>
      <c r="E23" s="133"/>
      <c r="F23" s="147"/>
    </row>
    <row r="24" spans="1:6">
      <c r="A24" s="133"/>
      <c r="B24" s="134">
        <v>3</v>
      </c>
      <c r="C24" s="148" t="str">
        <f>IF(ISERROR(VLOOKUP(B24,' P R E V I S Ã O '!$B$22:$D$47,2,FALSE)=TRUE),"",VLOOKUP(B24,' P R E V I S Ã O '!$B$22:$D$47,2,FALSE))</f>
        <v>Água do Condomínio</v>
      </c>
      <c r="D24" s="145">
        <f>IF(ISERROR(VLOOKUP(B24,' P R E V I S Ã O '!$B$22:$E$47,4,FALSE)=TRUE),"",VLOOKUP(B24,' P R E V I S Ã O '!$B$22:$E$47,4,FALSE))</f>
        <v>4941.9333333333334</v>
      </c>
      <c r="E24" s="133"/>
      <c r="F24" s="147"/>
    </row>
    <row r="25" spans="1:6">
      <c r="A25" s="133"/>
      <c r="B25" s="134">
        <v>4</v>
      </c>
      <c r="C25" s="148" t="str">
        <f>IF(ISERROR(VLOOKUP(B25,' P R E V I S Ã O '!$B$22:$D$47,2,FALSE)=TRUE),"",VLOOKUP(B25,' P R E V I S Ã O '!$B$22:$D$47,2,FALSE))</f>
        <v>Material de Limpeza</v>
      </c>
      <c r="D25" s="145">
        <f>IF(ISERROR(VLOOKUP(B25,' P R E V I S Ã O '!$B$22:$E$47,4,FALSE)=TRUE),"",VLOOKUP(B25,' P R E V I S Ã O '!$B$22:$E$47,4,FALSE))</f>
        <v>220.79999999999998</v>
      </c>
      <c r="E25" s="133"/>
      <c r="F25" s="147"/>
    </row>
    <row r="26" spans="1:6">
      <c r="A26" s="133"/>
      <c r="B26" s="134">
        <v>5</v>
      </c>
      <c r="C26" s="148" t="str">
        <f>IF(ISERROR(VLOOKUP(B26,' P R E V I S Ã O '!$B$22:$D$47,2,FALSE)=TRUE),"",VLOOKUP(B26,' P R E V I S Ã O '!$B$22:$D$47,2,FALSE))</f>
        <v>Gastos com conservação</v>
      </c>
      <c r="D26" s="145">
        <f>IF(ISERROR(VLOOKUP(B26,' P R E V I S Ã O '!$B$22:$E$47,4,FALSE)=TRUE),"",VLOOKUP(B26,' P R E V I S Ã O '!$B$22:$E$47,4,FALSE))</f>
        <v>1400.5783333333336</v>
      </c>
      <c r="E26" s="133"/>
      <c r="F26" s="147"/>
    </row>
    <row r="27" spans="1:6">
      <c r="A27" s="133"/>
      <c r="B27" s="134">
        <v>6</v>
      </c>
      <c r="C27" s="148" t="str">
        <f>IF(ISERROR(VLOOKUP(B27,' P R E V I S Ã O '!$B$22:$D$47,2,FALSE)=TRUE),"",VLOOKUP(B27,' P R E V I S Ã O '!$B$22:$D$47,2,FALSE))</f>
        <v>Tarifas Bancárias</v>
      </c>
      <c r="D27" s="145">
        <f>IF(ISERROR(VLOOKUP(B27,' P R E V I S Ã O '!$B$22:$E$47,4,FALSE)=TRUE),"",VLOOKUP(B27,' P R E V I S Ã O '!$B$22:$E$47,4,FALSE))</f>
        <v>84.493333333333325</v>
      </c>
      <c r="E27" s="133"/>
      <c r="F27" s="147"/>
    </row>
    <row r="28" spans="1:6">
      <c r="A28" s="133"/>
      <c r="B28" s="134">
        <v>7</v>
      </c>
      <c r="C28" s="148" t="str">
        <f>IF(ISERROR(VLOOKUP(B28,' P R E V I S Ã O '!$B$22:$D$47,2,FALSE)=TRUE),"",VLOOKUP(B28,' P R E V I S Ã O '!$B$22:$D$47,2,FALSE))</f>
        <v>Seguro de Incêndio Obrigatório</v>
      </c>
      <c r="D28" s="145">
        <f>IF(ISERROR(VLOOKUP(B28,' P R E V I S Ã O '!$B$22:$E$47,4,FALSE)=TRUE),"",VLOOKUP(B28,' P R E V I S Ã O '!$B$22:$E$47,4,FALSE))</f>
        <v>380.53250000000003</v>
      </c>
      <c r="E28" s="135"/>
      <c r="F28" s="149"/>
    </row>
    <row r="29" spans="1:6">
      <c r="A29" s="133"/>
      <c r="B29" s="134">
        <v>8</v>
      </c>
      <c r="C29" s="148" t="str">
        <f>IF(ISERROR(VLOOKUP(B29,' P R E V I S Ã O '!$B$22:$D$47,2,FALSE)=TRUE),"",VLOOKUP(B29,' P R E V I S Ã O '!$B$22:$D$47,2,FALSE))</f>
        <v>Contrato Manutenção de Elevador</v>
      </c>
      <c r="D29" s="145">
        <f>IF(ISERROR(VLOOKUP(B29,' P R E V I S Ã O '!$B$22:$E$47,4,FALSE)=TRUE),"",VLOOKUP(B29,' P R E V I S Ã O '!$B$22:$E$47,4,FALSE))</f>
        <v>880.12</v>
      </c>
      <c r="E29" s="135"/>
      <c r="F29" s="149"/>
    </row>
    <row r="30" spans="1:6">
      <c r="A30" s="133"/>
      <c r="B30" s="134">
        <v>9</v>
      </c>
      <c r="C30" s="148" t="str">
        <f>IF(ISERROR(VLOOKUP(B30,' P R E V I S Ã O '!$B$22:$D$47,2,FALSE)=TRUE),"",VLOOKUP(B30,' P R E V I S Ã O '!$B$22:$D$47,2,FALSE))</f>
        <v>Contrato Sena Contabilidade</v>
      </c>
      <c r="D30" s="145">
        <f>IF(ISERROR(VLOOKUP(B30,' P R E V I S Ã O '!$B$22:$E$47,4,FALSE)=TRUE),"",VLOOKUP(B30,' P R E V I S Ã O '!$B$22:$E$47,4,FALSE))</f>
        <v>436.21000000000004</v>
      </c>
      <c r="E30" s="135"/>
      <c r="F30" s="149"/>
    </row>
    <row r="31" spans="1:6">
      <c r="A31" s="133"/>
      <c r="B31" s="134">
        <v>10</v>
      </c>
      <c r="C31" s="148" t="str">
        <f>IF(ISERROR(VLOOKUP(B31,' P R E V I S Ã O '!$B$22:$D$47,2,FALSE)=TRUE),"",VLOOKUP(B31,' P R E V I S Ã O '!$B$22:$D$47,2,FALSE))</f>
        <v>Contrato Prestação Serviço Administração</v>
      </c>
      <c r="D31" s="145">
        <f>IF(ISERROR(VLOOKUP(B31,' P R E V I S Ã O '!$B$22:$E$47,4,FALSE)=TRUE),"",VLOOKUP(B31,' P R E V I S Ã O '!$B$22:$E$47,4,FALSE))</f>
        <v>1378</v>
      </c>
      <c r="E31" s="135"/>
      <c r="F31" s="149"/>
    </row>
    <row r="32" spans="1:6">
      <c r="A32" s="133"/>
      <c r="B32" s="134">
        <v>11</v>
      </c>
      <c r="C32" s="148" t="str">
        <f>IF(ISERROR(VLOOKUP(B32,' P R E V I S Ã O '!$B$22:$D$47,2,FALSE)=TRUE),"",VLOOKUP(B32,' P R E V I S Ã O '!$B$22:$D$47,2,FALSE))</f>
        <v>Despesas Administrativas</v>
      </c>
      <c r="D32" s="145">
        <f>IF(ISERROR(VLOOKUP(B32,' P R E V I S Ã O '!$B$22:$E$47,4,FALSE)=TRUE),"",VLOOKUP(B32,' P R E V I S Ã O '!$B$22:$E$47,4,FALSE))</f>
        <v>189.89166666666665</v>
      </c>
      <c r="E32" s="135"/>
      <c r="F32" s="149"/>
    </row>
    <row r="33" spans="1:8">
      <c r="A33" s="133"/>
      <c r="B33" s="134">
        <v>12</v>
      </c>
      <c r="C33" s="148" t="str">
        <f>IF(ISERROR(VLOOKUP(B33,' P R E V I S Ã O '!$B$22:$D$47,2,FALSE)=TRUE),"",VLOOKUP(B33,' P R E V I S Ã O '!$B$22:$D$47,2,FALSE))</f>
        <v>Pró-labore do Síndico</v>
      </c>
      <c r="D33" s="145">
        <f>IF(ISERROR(VLOOKUP(B33,' P R E V I S Ã O '!$B$22:$E$47,4,FALSE)=TRUE),"",VLOOKUP(B33,' P R E V I S Ã O '!$B$22:$E$47,4,FALSE))</f>
        <v>849.98333333333323</v>
      </c>
      <c r="E33" s="135"/>
      <c r="F33" s="149"/>
    </row>
    <row r="34" spans="1:8" hidden="1">
      <c r="A34" s="133"/>
      <c r="B34" s="134">
        <v>13</v>
      </c>
      <c r="C34" s="148" t="str">
        <f>IF(ISERROR(VLOOKUP(B34,' P R E V I S Ã O '!$B$22:$D$47,2,FALSE)=TRUE),"",VLOOKUP(B34,' P R E V I S Ã O '!$B$22:$D$47,2,FALSE))</f>
        <v/>
      </c>
      <c r="D34" s="145" t="str">
        <f>IF(ISERROR(VLOOKUP(B34,' P R E V I S Ã O '!$B$22:$E$47,4,FALSE)=TRUE),"",VLOOKUP(B34,' P R E V I S Ã O '!$B$22:$E$47,4,FALSE))</f>
        <v/>
      </c>
      <c r="E34" s="135"/>
      <c r="F34" s="149"/>
    </row>
    <row r="35" spans="1:8" hidden="1">
      <c r="A35" s="133"/>
      <c r="B35" s="134">
        <v>14</v>
      </c>
      <c r="C35" s="148" t="str">
        <f>IF(ISERROR(VLOOKUP(B35,' P R E V I S Ã O '!$B$22:$D$47,2,FALSE)=TRUE),"",VLOOKUP(B35,' P R E V I S Ã O '!$B$22:$D$47,2,FALSE))</f>
        <v/>
      </c>
      <c r="D35" s="145" t="str">
        <f>IF(ISERROR(VLOOKUP(B35,' P R E V I S Ã O '!$B$22:$E$47,4,FALSE)=TRUE),"",VLOOKUP(B35,' P R E V I S Ã O '!$B$22:$E$47,4,FALSE))</f>
        <v/>
      </c>
      <c r="E35" s="135"/>
      <c r="F35" s="149"/>
    </row>
    <row r="36" spans="1:8" hidden="1">
      <c r="A36" s="133"/>
      <c r="B36" s="134">
        <v>15</v>
      </c>
      <c r="C36" s="148" t="str">
        <f>IF(ISERROR(VLOOKUP(B36,' P R E V I S Ã O '!$B$22:$D$47,2,FALSE)=TRUE),"",VLOOKUP(B36,' P R E V I S Ã O '!$B$22:$D$47,2,FALSE))</f>
        <v/>
      </c>
      <c r="D36" s="145" t="str">
        <f>IF(ISERROR(VLOOKUP(B36,' P R E V I S Ã O '!$B$22:$E$47,4,FALSE)=TRUE),"",VLOOKUP(B36,' P R E V I S Ã O '!$B$22:$E$47,4,FALSE))</f>
        <v/>
      </c>
      <c r="E36" s="135"/>
      <c r="F36" s="149"/>
    </row>
    <row r="37" spans="1:8" hidden="1">
      <c r="A37" s="133"/>
      <c r="B37" s="134">
        <v>16</v>
      </c>
      <c r="C37" s="148" t="str">
        <f>IF(ISERROR(VLOOKUP(B37,' P R E V I S Ã O '!$B$22:$D$47,2,FALSE)=TRUE),"",VLOOKUP(B37,' P R E V I S Ã O '!$B$22:$D$47,2,FALSE))</f>
        <v/>
      </c>
      <c r="D37" s="145" t="str">
        <f>IF(ISERROR(VLOOKUP(B37,' P R E V I S Ã O '!$B$22:$E$47,4,FALSE)=TRUE),"",VLOOKUP(B37,' P R E V I S Ã O '!$B$22:$E$47,4,FALSE))</f>
        <v/>
      </c>
      <c r="E37" s="135"/>
      <c r="F37" s="149"/>
    </row>
    <row r="38" spans="1:8" hidden="1">
      <c r="A38" s="133"/>
      <c r="B38" s="134">
        <v>17</v>
      </c>
      <c r="C38" s="148" t="str">
        <f>IF(ISERROR(VLOOKUP(B38,' P R E V I S Ã O '!$B$22:$D$47,2,FALSE)=TRUE),"",VLOOKUP(B38,' P R E V I S Ã O '!$B$22:$D$47,2,FALSE))</f>
        <v/>
      </c>
      <c r="D38" s="145" t="str">
        <f>IF(ISERROR(VLOOKUP(B38,' P R E V I S Ã O '!$B$22:$E$47,4,FALSE)=TRUE),"",VLOOKUP(B38,' P R E V I S Ã O '!$B$22:$E$47,4,FALSE))</f>
        <v/>
      </c>
      <c r="E38" s="135"/>
      <c r="F38" s="149"/>
    </row>
    <row r="39" spans="1:8" hidden="1">
      <c r="A39" s="133"/>
      <c r="B39" s="134">
        <v>18</v>
      </c>
      <c r="C39" s="148" t="str">
        <f>IF(ISERROR(VLOOKUP(B39,' P R E V I S Ã O '!$B$22:$D$47,2,FALSE)=TRUE),"",VLOOKUP(B39,' P R E V I S Ã O '!$B$22:$D$47,2,FALSE))</f>
        <v/>
      </c>
      <c r="D39" s="145" t="str">
        <f>IF(ISERROR(VLOOKUP(B39,' P R E V I S Ã O '!$B$22:$E$47,4,FALSE)=TRUE),"",VLOOKUP(B39,' P R E V I S Ã O '!$B$22:$E$47,4,FALSE))</f>
        <v/>
      </c>
      <c r="E39" s="135"/>
      <c r="F39" s="149"/>
    </row>
    <row r="40" spans="1:8" hidden="1">
      <c r="A40" s="133"/>
      <c r="B40" s="134">
        <v>19</v>
      </c>
      <c r="C40" s="148" t="str">
        <f>IF(ISERROR(VLOOKUP(B40,' P R E V I S Ã O '!$B$22:$D$47,2,FALSE)=TRUE),"",VLOOKUP(B40,' P R E V I S Ã O '!$B$22:$D$47,2,FALSE))</f>
        <v/>
      </c>
      <c r="D40" s="145" t="str">
        <f>IF(ISERROR(VLOOKUP(B40,' P R E V I S Ã O '!$B$22:$E$47,4,FALSE)=TRUE),"",VLOOKUP(B40,' P R E V I S Ã O '!$B$22:$E$47,4,FALSE))</f>
        <v/>
      </c>
      <c r="E40" s="135"/>
      <c r="F40" s="149"/>
    </row>
    <row r="41" spans="1:8" hidden="1">
      <c r="A41" s="133"/>
      <c r="B41" s="134">
        <v>20</v>
      </c>
      <c r="C41" s="148" t="str">
        <f>IF(ISERROR(VLOOKUP(B41,' P R E V I S Ã O '!$B$22:$D$47,2,FALSE)=TRUE),"",VLOOKUP(B41,' P R E V I S Ã O '!$B$22:$D$47,2,FALSE))</f>
        <v/>
      </c>
      <c r="D41" s="145" t="str">
        <f>IF(ISERROR(VLOOKUP(B41,' P R E V I S Ã O '!$B$22:$E$47,4,FALSE)=TRUE),"",VLOOKUP(B41,' P R E V I S Ã O '!$B$22:$E$47,4,FALSE))</f>
        <v/>
      </c>
      <c r="E41" s="135"/>
      <c r="F41" s="149"/>
    </row>
    <row r="42" spans="1:8" hidden="1">
      <c r="A42" s="133"/>
      <c r="B42" s="134">
        <v>21</v>
      </c>
      <c r="C42" s="148" t="str">
        <f>IF(ISERROR(VLOOKUP(B42,' P R E V I S Ã O '!$B$22:$D$47,2,FALSE)=TRUE),"",VLOOKUP(B42,' P R E V I S Ã O '!$B$22:$D$47,2,FALSE))</f>
        <v/>
      </c>
      <c r="D42" s="145" t="str">
        <f>IF(ISERROR(VLOOKUP(B42,' P R E V I S Ã O '!$B$22:$E$47,4,FALSE)=TRUE),"",VLOOKUP(B42,' P R E V I S Ã O '!$B$22:$E$47,4,FALSE))</f>
        <v/>
      </c>
      <c r="E42" s="135"/>
      <c r="F42" s="149"/>
    </row>
    <row r="43" spans="1:8" hidden="1">
      <c r="A43" s="133"/>
      <c r="B43" s="134">
        <v>22</v>
      </c>
      <c r="C43" s="148" t="str">
        <f>IF(ISERROR(VLOOKUP(B43,' P R E V I S Ã O '!$B$22:$D$47,2,FALSE)=TRUE),"",VLOOKUP(B43,' P R E V I S Ã O '!$B$22:$D$47,2,FALSE))</f>
        <v/>
      </c>
      <c r="D43" s="145" t="str">
        <f>IF(ISERROR(VLOOKUP(B43,' P R E V I S Ã O '!$B$22:$E$47,4,FALSE)=TRUE),"",VLOOKUP(B43,' P R E V I S Ã O '!$B$22:$E$47,4,FALSE))</f>
        <v/>
      </c>
      <c r="E43" s="135"/>
      <c r="F43" s="149"/>
    </row>
    <row r="44" spans="1:8" hidden="1">
      <c r="A44" s="133"/>
      <c r="B44" s="134">
        <v>23</v>
      </c>
      <c r="C44" s="148" t="str">
        <f>IF(ISERROR(VLOOKUP(B44,' P R E V I S Ã O '!$B$22:$D$47,2,FALSE)=TRUE),"",VLOOKUP(B44,' P R E V I S Ã O '!$B$22:$D$47,2,FALSE))</f>
        <v/>
      </c>
      <c r="D44" s="145" t="str">
        <f>IF(ISERROR(VLOOKUP(B44,' P R E V I S Ã O '!$B$22:$E$47,4,FALSE)=TRUE),"",VLOOKUP(B44,' P R E V I S Ã O '!$B$22:$E$47,4,FALSE))</f>
        <v/>
      </c>
      <c r="E44" s="135"/>
      <c r="F44" s="135"/>
    </row>
    <row r="45" spans="1:8" hidden="1">
      <c r="A45" s="133"/>
      <c r="B45" s="134">
        <v>24</v>
      </c>
      <c r="C45" s="148" t="str">
        <f>IF(ISERROR(VLOOKUP(B45,' P R E V I S Ã O '!$B$22:$D$47,2,FALSE)=TRUE),"",VLOOKUP(B45,' P R E V I S Ã O '!$B$22:$D$47,2,FALSE))</f>
        <v/>
      </c>
      <c r="D45" s="145" t="str">
        <f>IF(ISERROR(VLOOKUP(B45,' P R E V I S Ã O '!$B$22:$E$47,4,FALSE)=TRUE),"",VLOOKUP(B45,' P R E V I S Ã O '!$B$22:$E$47,4,FALSE))</f>
        <v/>
      </c>
      <c r="E45" s="135"/>
      <c r="F45" s="135"/>
    </row>
    <row r="46" spans="1:8" ht="13.5" thickBot="1">
      <c r="A46" s="133"/>
      <c r="B46" s="134">
        <v>25</v>
      </c>
      <c r="C46" s="166" t="str">
        <f>IF(ISERROR(VLOOKUP(B46,' P R E V I S Ã O '!$B$22:$D$47,2,FALSE)=TRUE),"",VLOOKUP(B46,' P R E V I S Ã O '!$B$22:$D$47,2,FALSE))</f>
        <v/>
      </c>
      <c r="D46" s="167" t="str">
        <f>IF(ISERROR(VLOOKUP(B46,' P R E V I S Ã O '!$B$22:$E$47,4,FALSE)=TRUE),"",VLOOKUP(B46,' P R E V I S Ã O '!$B$22:$E$47,4,FALSE))</f>
        <v/>
      </c>
      <c r="E46" s="135"/>
      <c r="F46" s="135"/>
      <c r="G46" s="136" t="s">
        <v>440</v>
      </c>
      <c r="H46" s="136" t="s">
        <v>441</v>
      </c>
    </row>
    <row r="47" spans="1:8" ht="13.5" thickBot="1">
      <c r="A47" s="135"/>
      <c r="B47" s="150"/>
      <c r="C47" s="171" t="s">
        <v>228</v>
      </c>
      <c r="D47" s="172">
        <f>SUM(D22:D46)</f>
        <v>15794.244166666667</v>
      </c>
      <c r="F47" s="151" t="s">
        <v>406</v>
      </c>
      <c r="G47" s="151" t="s">
        <v>414</v>
      </c>
      <c r="H47" s="151" t="s">
        <v>414</v>
      </c>
    </row>
    <row r="48" spans="1:8" ht="18" customHeight="1" thickBot="1">
      <c r="A48" s="135"/>
      <c r="B48" s="150"/>
      <c r="C48" s="170" t="str">
        <f>"Aumento previsto ( salário,tarifas pub., serviços)  =  " &amp; F48*100 &amp; " %"</f>
        <v>Aumento previsto ( salário,tarifas pub., serviços)  =  10 %</v>
      </c>
      <c r="D48" s="163">
        <f>D47*F48</f>
        <v>1579.4244166666667</v>
      </c>
      <c r="F48" s="152">
        <v>0.1</v>
      </c>
      <c r="G48" s="153">
        <f>+D50/D19-1</f>
        <v>-0.12200366369413718</v>
      </c>
      <c r="H48" s="153">
        <f>+D50/(D19-' P R E V I S Ã O '!D11)-1</f>
        <v>-4.7668536759614022E-2</v>
      </c>
    </row>
    <row r="49" spans="1:6" ht="10.5" customHeight="1" thickBot="1">
      <c r="A49" s="135"/>
      <c r="B49" s="150"/>
      <c r="C49" s="166"/>
      <c r="D49" s="173"/>
      <c r="E49" s="135"/>
      <c r="F49" s="135"/>
    </row>
    <row r="50" spans="1:6" ht="13.5" thickBot="1">
      <c r="A50" s="135"/>
      <c r="B50" s="150"/>
      <c r="C50" s="171" t="s">
        <v>226</v>
      </c>
      <c r="D50" s="172">
        <f>D47+D48</f>
        <v>17373.668583333332</v>
      </c>
      <c r="E50" s="135"/>
      <c r="F50" s="135"/>
    </row>
    <row r="51" spans="1:6" ht="10.5" customHeight="1" thickBot="1">
      <c r="A51" s="135"/>
      <c r="B51" s="150"/>
      <c r="E51" s="135"/>
      <c r="F51" s="135"/>
    </row>
    <row r="52" spans="1:6" ht="13.5" thickBot="1">
      <c r="C52" s="154" t="str">
        <f>IF(D52&lt;0,"SALDO ( DÉFICIT )","SALDO ( SUPERÁVIT )")</f>
        <v>SALDO ( SUPERÁVIT )</v>
      </c>
      <c r="D52" s="155">
        <f>D19-D50</f>
        <v>2414.1914166666684</v>
      </c>
      <c r="E52" s="135"/>
      <c r="F52" s="135"/>
    </row>
    <row r="53" spans="1:6" ht="11.25" customHeight="1"/>
    <row r="54" spans="1:6" ht="19.5" customHeight="1">
      <c r="A54" s="193" t="s">
        <v>229</v>
      </c>
      <c r="B54" s="193"/>
      <c r="C54" s="193"/>
      <c r="D54" s="193"/>
      <c r="E54" s="193"/>
      <c r="F54" s="156"/>
    </row>
    <row r="56" spans="1:6">
      <c r="A56" s="191" t="str">
        <f>"1) Para o cálculo desta previsão, levamos em consideração a média aritmética dos últimos  "    &amp; E11 &amp; "   meses"</f>
        <v>1) Para o cálculo desta previsão, levamos em consideração a média aritmética dos últimos  12   meses</v>
      </c>
      <c r="B56" s="191"/>
      <c r="C56" s="191"/>
      <c r="D56" s="191"/>
      <c r="E56" s="191"/>
      <c r="F56" s="157"/>
    </row>
    <row r="80" hidden="1"/>
    <row r="81" spans="2:4" hidden="1"/>
    <row r="82" spans="2:4" hidden="1"/>
    <row r="83" spans="2:4" hidden="1"/>
    <row r="84" spans="2:4" hidden="1"/>
    <row r="87" spans="2:4">
      <c r="B87" s="136"/>
    </row>
    <row r="88" spans="2:4" ht="15.75" customHeight="1">
      <c r="B88" s="158" t="s">
        <v>231</v>
      </c>
      <c r="C88" s="159" t="s">
        <v>607</v>
      </c>
      <c r="D88" s="160" t="s">
        <v>230</v>
      </c>
    </row>
    <row r="98" spans="1:5">
      <c r="A98" s="135"/>
      <c r="B98" s="150"/>
      <c r="C98" s="135"/>
      <c r="D98" s="135"/>
      <c r="E98" s="135"/>
    </row>
    <row r="99" spans="1:5">
      <c r="D99" s="161"/>
      <c r="E99" s="135"/>
    </row>
    <row r="100" spans="1:5">
      <c r="D100" s="161"/>
      <c r="E100" s="135"/>
    </row>
    <row r="101" spans="1:5">
      <c r="D101" s="161"/>
      <c r="E101" s="135"/>
    </row>
    <row r="102" spans="1:5">
      <c r="D102" s="161"/>
      <c r="E102" s="135"/>
    </row>
    <row r="103" spans="1:5">
      <c r="D103" s="161"/>
      <c r="E103" s="135"/>
    </row>
    <row r="104" spans="1:5">
      <c r="D104" s="161"/>
      <c r="E104" s="135"/>
    </row>
    <row r="105" spans="1:5">
      <c r="D105" s="161"/>
      <c r="E105" s="135"/>
    </row>
    <row r="106" spans="1:5">
      <c r="D106" s="161"/>
      <c r="E106" s="135"/>
    </row>
    <row r="107" spans="1:5">
      <c r="D107" s="161"/>
      <c r="E107" s="135"/>
    </row>
    <row r="108" spans="1:5">
      <c r="D108" s="161"/>
      <c r="E108" s="135"/>
    </row>
    <row r="109" spans="1:5">
      <c r="D109" s="161"/>
      <c r="E109" s="135"/>
    </row>
    <row r="110" spans="1:5">
      <c r="D110" s="161"/>
      <c r="E110" s="135"/>
    </row>
    <row r="111" spans="1:5">
      <c r="D111" s="161"/>
      <c r="E111" s="135"/>
    </row>
    <row r="112" spans="1:5">
      <c r="D112" s="161"/>
      <c r="E112" s="135"/>
    </row>
    <row r="113" spans="4:5">
      <c r="D113" s="161"/>
      <c r="E113" s="135"/>
    </row>
    <row r="114" spans="4:5">
      <c r="D114" s="161"/>
      <c r="E114" s="135"/>
    </row>
    <row r="115" spans="4:5">
      <c r="D115" s="161"/>
      <c r="E115" s="135"/>
    </row>
    <row r="116" spans="4:5">
      <c r="D116" s="161"/>
      <c r="E116" s="135"/>
    </row>
    <row r="117" spans="4:5">
      <c r="D117" s="161"/>
      <c r="E117" s="135"/>
    </row>
    <row r="118" spans="4:5">
      <c r="D118" s="161"/>
      <c r="E118" s="135"/>
    </row>
    <row r="119" spans="4:5">
      <c r="D119" s="161"/>
      <c r="E119" s="135"/>
    </row>
    <row r="120" spans="4:5">
      <c r="D120" s="161"/>
      <c r="E120" s="135"/>
    </row>
    <row r="121" spans="4:5">
      <c r="D121" s="161"/>
      <c r="E121" s="135"/>
    </row>
    <row r="122" spans="4:5">
      <c r="D122" s="161"/>
      <c r="E122" s="135"/>
    </row>
    <row r="123" spans="4:5">
      <c r="D123" s="161"/>
      <c r="E123" s="135"/>
    </row>
    <row r="124" spans="4:5">
      <c r="D124" s="161"/>
      <c r="E124" s="135"/>
    </row>
    <row r="125" spans="4:5">
      <c r="D125" s="161"/>
      <c r="E125" s="135"/>
    </row>
    <row r="126" spans="4:5">
      <c r="D126" s="161"/>
      <c r="E126" s="135"/>
    </row>
    <row r="127" spans="4:5">
      <c r="D127" s="161"/>
      <c r="E127" s="135"/>
    </row>
    <row r="128" spans="4:5">
      <c r="D128" s="161"/>
      <c r="E128" s="135"/>
    </row>
    <row r="129" spans="4:5">
      <c r="D129" s="161"/>
      <c r="E129" s="135"/>
    </row>
    <row r="130" spans="4:5">
      <c r="D130" s="161"/>
      <c r="E130" s="135"/>
    </row>
    <row r="131" spans="4:5">
      <c r="D131" s="161"/>
      <c r="E131" s="135"/>
    </row>
    <row r="132" spans="4:5">
      <c r="D132" s="161"/>
      <c r="E132" s="135"/>
    </row>
    <row r="133" spans="4:5">
      <c r="D133" s="161"/>
      <c r="E133" s="135"/>
    </row>
    <row r="134" spans="4:5">
      <c r="D134" s="161"/>
      <c r="E134" s="135"/>
    </row>
    <row r="135" spans="4:5">
      <c r="D135" s="161"/>
      <c r="E135" s="135"/>
    </row>
    <row r="136" spans="4:5">
      <c r="D136" s="161"/>
      <c r="E136" s="135"/>
    </row>
    <row r="137" spans="4:5">
      <c r="D137" s="161"/>
      <c r="E137" s="135"/>
    </row>
    <row r="138" spans="4:5">
      <c r="D138" s="161"/>
      <c r="E138" s="135"/>
    </row>
    <row r="139" spans="4:5">
      <c r="D139" s="161"/>
      <c r="E139" s="135"/>
    </row>
    <row r="140" spans="4:5">
      <c r="D140" s="161"/>
      <c r="E140" s="135"/>
    </row>
    <row r="141" spans="4:5">
      <c r="D141" s="161"/>
      <c r="E141" s="135"/>
    </row>
    <row r="142" spans="4:5">
      <c r="D142" s="161"/>
      <c r="E142" s="135"/>
    </row>
    <row r="143" spans="4:5">
      <c r="D143" s="161"/>
      <c r="E143" s="135"/>
    </row>
    <row r="144" spans="4:5">
      <c r="D144" s="161"/>
      <c r="E144" s="135"/>
    </row>
    <row r="145" spans="1:5">
      <c r="D145" s="161"/>
      <c r="E145" s="135"/>
    </row>
    <row r="146" spans="1:5">
      <c r="D146" s="135"/>
      <c r="E146" s="135"/>
    </row>
    <row r="147" spans="1:5">
      <c r="D147" s="135"/>
      <c r="E147" s="135"/>
    </row>
    <row r="148" spans="1:5">
      <c r="D148" s="135"/>
      <c r="E148" s="135"/>
    </row>
    <row r="149" spans="1:5">
      <c r="D149" s="135"/>
      <c r="E149" s="135"/>
    </row>
    <row r="150" spans="1:5">
      <c r="D150" s="135"/>
      <c r="E150" s="135"/>
    </row>
    <row r="151" spans="1:5">
      <c r="D151" s="135"/>
      <c r="E151" s="135"/>
    </row>
    <row r="152" spans="1:5">
      <c r="D152" s="135"/>
      <c r="E152" s="135"/>
    </row>
    <row r="153" spans="1:5">
      <c r="D153" s="135"/>
      <c r="E153" s="135"/>
    </row>
    <row r="154" spans="1:5">
      <c r="D154" s="135"/>
      <c r="E154" s="135"/>
    </row>
    <row r="155" spans="1:5">
      <c r="D155" s="135"/>
      <c r="E155" s="135"/>
    </row>
    <row r="156" spans="1:5">
      <c r="D156" s="135"/>
      <c r="E156" s="135"/>
    </row>
    <row r="157" spans="1:5">
      <c r="A157" s="135"/>
      <c r="B157" s="150"/>
      <c r="C157" s="135"/>
      <c r="D157" s="135"/>
      <c r="E157" s="135"/>
    </row>
    <row r="158" spans="1:5">
      <c r="A158" s="135"/>
      <c r="B158" s="150"/>
      <c r="C158" s="135"/>
      <c r="D158" s="135"/>
      <c r="E158" s="135"/>
    </row>
    <row r="159" spans="1:5">
      <c r="A159" s="135"/>
      <c r="B159" s="150"/>
      <c r="C159" s="135"/>
      <c r="D159" s="135"/>
      <c r="E159" s="135"/>
    </row>
    <row r="160" spans="1:5">
      <c r="A160" s="135"/>
      <c r="B160" s="150"/>
      <c r="C160" s="135"/>
      <c r="D160" s="135"/>
      <c r="E160" s="135"/>
    </row>
    <row r="161" spans="1:5">
      <c r="A161" s="135"/>
      <c r="B161" s="150"/>
      <c r="C161" s="135"/>
      <c r="D161" s="135"/>
      <c r="E161" s="135"/>
    </row>
    <row r="162" spans="1:5">
      <c r="A162" s="135"/>
      <c r="B162" s="150"/>
      <c r="C162" s="135"/>
      <c r="D162" s="135"/>
      <c r="E162" s="135"/>
    </row>
    <row r="163" spans="1:5">
      <c r="A163" s="135"/>
      <c r="B163" s="150"/>
      <c r="C163" s="135"/>
      <c r="D163" s="135"/>
      <c r="E163" s="135"/>
    </row>
    <row r="164" spans="1:5">
      <c r="A164" s="135"/>
      <c r="B164" s="150"/>
      <c r="C164" s="135"/>
      <c r="D164" s="135"/>
      <c r="E164" s="135"/>
    </row>
    <row r="165" spans="1:5">
      <c r="A165" s="135"/>
      <c r="B165" s="150"/>
      <c r="C165" s="135"/>
      <c r="D165" s="135"/>
      <c r="E165" s="135"/>
    </row>
    <row r="166" spans="1:5">
      <c r="A166" s="135"/>
      <c r="B166" s="150"/>
      <c r="C166" s="135"/>
      <c r="D166" s="135"/>
      <c r="E166" s="135"/>
    </row>
    <row r="167" spans="1:5">
      <c r="A167" s="135"/>
      <c r="B167" s="150"/>
      <c r="C167" s="135"/>
      <c r="D167" s="135"/>
      <c r="E167" s="135"/>
    </row>
    <row r="168" spans="1:5">
      <c r="A168" s="135"/>
      <c r="B168" s="150"/>
      <c r="C168" s="135"/>
      <c r="D168" s="135"/>
      <c r="E168" s="135"/>
    </row>
    <row r="169" spans="1:5">
      <c r="A169" s="135"/>
      <c r="B169" s="150"/>
      <c r="C169" s="135"/>
      <c r="D169" s="135"/>
      <c r="E169" s="135"/>
    </row>
  </sheetData>
  <mergeCells count="4">
    <mergeCell ref="A6:E6"/>
    <mergeCell ref="A56:E56"/>
    <mergeCell ref="A8:E8"/>
    <mergeCell ref="A54:E54"/>
  </mergeCells>
  <phoneticPr fontId="37" type="noConversion"/>
  <pageMargins left="0.39370078740157483" right="0.39370078740157483" top="0.39370078740157483" bottom="0.39370078740157483" header="0.27559055118110237" footer="0.51181102362204722"/>
  <pageSetup paperSize="9" scale="72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4"/>
  <dimension ref="A1:I212"/>
  <sheetViews>
    <sheetView workbookViewId="0">
      <selection activeCell="L150" sqref="L150"/>
    </sheetView>
  </sheetViews>
  <sheetFormatPr defaultRowHeight="12.75"/>
  <cols>
    <col min="1" max="1" width="1" style="131" customWidth="1"/>
    <col min="3" max="3" width="45.42578125" style="82" customWidth="1"/>
  </cols>
  <sheetData>
    <row r="1" spans="1:9" ht="23.25">
      <c r="A1" s="130"/>
      <c r="B1" s="194" t="s">
        <v>241</v>
      </c>
      <c r="C1" s="194"/>
    </row>
    <row r="2" spans="1:9" ht="23.25">
      <c r="A2" s="130"/>
      <c r="B2" s="180"/>
      <c r="C2" s="180"/>
    </row>
    <row r="3" spans="1:9">
      <c r="B3" s="124">
        <v>1</v>
      </c>
      <c r="C3" s="125" t="s">
        <v>579</v>
      </c>
    </row>
    <row r="4" spans="1:9">
      <c r="A4" s="131">
        <v>102</v>
      </c>
      <c r="B4" s="124">
        <v>2</v>
      </c>
      <c r="C4" s="81" t="s">
        <v>580</v>
      </c>
    </row>
    <row r="5" spans="1:9">
      <c r="A5" s="132">
        <v>1</v>
      </c>
      <c r="B5" s="124">
        <v>3</v>
      </c>
      <c r="C5" s="82" t="s">
        <v>415</v>
      </c>
      <c r="I5" s="179" t="s">
        <v>561</v>
      </c>
    </row>
    <row r="6" spans="1:9">
      <c r="A6" s="132"/>
      <c r="B6" s="124">
        <v>4</v>
      </c>
      <c r="C6" s="82" t="s">
        <v>467</v>
      </c>
      <c r="I6" s="179" t="s">
        <v>562</v>
      </c>
    </row>
    <row r="7" spans="1:9">
      <c r="A7" s="126"/>
      <c r="B7" s="124">
        <v>5</v>
      </c>
      <c r="C7" s="81" t="s">
        <v>570</v>
      </c>
      <c r="I7" s="179" t="s">
        <v>563</v>
      </c>
    </row>
    <row r="8" spans="1:9">
      <c r="B8" s="124">
        <v>6</v>
      </c>
      <c r="C8" s="81" t="s">
        <v>589</v>
      </c>
    </row>
    <row r="9" spans="1:9">
      <c r="A9" s="126"/>
      <c r="B9" s="124">
        <v>7</v>
      </c>
      <c r="C9" s="81" t="s">
        <v>598</v>
      </c>
    </row>
    <row r="10" spans="1:9">
      <c r="A10" s="126"/>
      <c r="B10" s="124">
        <v>8</v>
      </c>
      <c r="C10" s="81" t="s">
        <v>602</v>
      </c>
    </row>
    <row r="11" spans="1:9">
      <c r="B11" s="124">
        <v>9</v>
      </c>
      <c r="C11" s="82" t="s">
        <v>571</v>
      </c>
    </row>
    <row r="12" spans="1:9">
      <c r="B12" s="124">
        <v>10</v>
      </c>
      <c r="C12" s="181" t="s">
        <v>565</v>
      </c>
    </row>
    <row r="13" spans="1:9">
      <c r="B13" s="124">
        <v>11</v>
      </c>
      <c r="C13" s="181" t="s">
        <v>566</v>
      </c>
    </row>
    <row r="14" spans="1:9">
      <c r="A14" s="126"/>
      <c r="B14" s="124">
        <v>12</v>
      </c>
      <c r="C14" s="82" t="s">
        <v>443</v>
      </c>
    </row>
    <row r="15" spans="1:9">
      <c r="A15" s="126"/>
      <c r="B15" s="124">
        <v>13</v>
      </c>
      <c r="C15" s="81" t="s">
        <v>416</v>
      </c>
    </row>
    <row r="16" spans="1:9">
      <c r="B16" s="124">
        <v>14</v>
      </c>
      <c r="C16" s="82" t="s">
        <v>417</v>
      </c>
    </row>
    <row r="17" spans="1:3">
      <c r="B17" s="124">
        <v>15</v>
      </c>
      <c r="C17" s="82" t="s">
        <v>574</v>
      </c>
    </row>
    <row r="18" spans="1:3">
      <c r="A18" s="126"/>
      <c r="B18" s="124">
        <v>16</v>
      </c>
      <c r="C18" s="82" t="s">
        <v>444</v>
      </c>
    </row>
    <row r="19" spans="1:3">
      <c r="A19" s="126"/>
      <c r="B19" s="124">
        <v>17</v>
      </c>
      <c r="C19" s="82" t="s">
        <v>468</v>
      </c>
    </row>
    <row r="20" spans="1:3">
      <c r="A20" s="126"/>
      <c r="B20" s="124">
        <v>18</v>
      </c>
      <c r="C20" s="82" t="s">
        <v>575</v>
      </c>
    </row>
    <row r="21" spans="1:3">
      <c r="B21" s="124">
        <v>19</v>
      </c>
      <c r="C21" s="82" t="s">
        <v>418</v>
      </c>
    </row>
    <row r="22" spans="1:3">
      <c r="B22" s="124">
        <v>20</v>
      </c>
      <c r="C22" s="81" t="s">
        <v>264</v>
      </c>
    </row>
    <row r="23" spans="1:3">
      <c r="A23" s="126"/>
      <c r="B23" s="124">
        <v>21</v>
      </c>
      <c r="C23" s="81" t="s">
        <v>577</v>
      </c>
    </row>
    <row r="24" spans="1:3">
      <c r="A24" s="126"/>
      <c r="B24" s="124">
        <v>22</v>
      </c>
      <c r="C24" s="81" t="s">
        <v>265</v>
      </c>
    </row>
    <row r="25" spans="1:3">
      <c r="A25" s="126"/>
      <c r="B25" s="124">
        <v>23</v>
      </c>
      <c r="C25" s="81" t="s">
        <v>266</v>
      </c>
    </row>
    <row r="26" spans="1:3">
      <c r="B26" s="124">
        <v>24</v>
      </c>
      <c r="C26" s="82" t="s">
        <v>601</v>
      </c>
    </row>
    <row r="27" spans="1:3">
      <c r="B27" s="124">
        <v>25</v>
      </c>
      <c r="C27" s="82" t="s">
        <v>449</v>
      </c>
    </row>
    <row r="28" spans="1:3">
      <c r="A28" s="126"/>
      <c r="B28" s="124">
        <v>26</v>
      </c>
      <c r="C28" s="81" t="s">
        <v>300</v>
      </c>
    </row>
    <row r="29" spans="1:3">
      <c r="B29" s="124">
        <v>27</v>
      </c>
      <c r="C29" s="82" t="s">
        <v>448</v>
      </c>
    </row>
    <row r="30" spans="1:3">
      <c r="B30" s="124">
        <v>28</v>
      </c>
      <c r="C30" s="81" t="s">
        <v>419</v>
      </c>
    </row>
    <row r="31" spans="1:3">
      <c r="A31" s="126"/>
      <c r="B31" s="124">
        <v>29</v>
      </c>
      <c r="C31" s="81" t="s">
        <v>420</v>
      </c>
    </row>
    <row r="32" spans="1:3">
      <c r="B32" s="124">
        <v>30</v>
      </c>
      <c r="C32" s="81" t="s">
        <v>267</v>
      </c>
    </row>
    <row r="33" spans="1:3">
      <c r="B33" s="124">
        <v>31</v>
      </c>
      <c r="C33" s="81" t="s">
        <v>470</v>
      </c>
    </row>
    <row r="34" spans="1:3">
      <c r="B34" s="124">
        <v>32</v>
      </c>
      <c r="C34" s="81" t="s">
        <v>301</v>
      </c>
    </row>
    <row r="35" spans="1:3">
      <c r="A35" s="126"/>
      <c r="B35" s="124">
        <v>33</v>
      </c>
      <c r="C35" s="82" t="s">
        <v>421</v>
      </c>
    </row>
    <row r="36" spans="1:3">
      <c r="A36" s="126"/>
      <c r="B36" s="124">
        <v>34</v>
      </c>
      <c r="C36" s="81" t="s">
        <v>268</v>
      </c>
    </row>
    <row r="37" spans="1:3">
      <c r="A37" s="126"/>
      <c r="B37" s="124">
        <v>35</v>
      </c>
      <c r="C37" s="81" t="s">
        <v>576</v>
      </c>
    </row>
    <row r="38" spans="1:3">
      <c r="A38" s="126"/>
      <c r="B38" s="124">
        <v>36</v>
      </c>
      <c r="C38" s="81" t="s">
        <v>469</v>
      </c>
    </row>
    <row r="39" spans="1:3">
      <c r="B39" s="124">
        <v>37</v>
      </c>
      <c r="C39" s="81" t="s">
        <v>269</v>
      </c>
    </row>
    <row r="40" spans="1:3">
      <c r="A40" s="126"/>
      <c r="B40" s="124">
        <v>38</v>
      </c>
      <c r="C40" s="82" t="s">
        <v>422</v>
      </c>
    </row>
    <row r="41" spans="1:3">
      <c r="B41" s="124">
        <v>39</v>
      </c>
      <c r="C41" s="82" t="s">
        <v>450</v>
      </c>
    </row>
    <row r="42" spans="1:3">
      <c r="B42" s="124">
        <v>40</v>
      </c>
      <c r="C42" s="82" t="s">
        <v>451</v>
      </c>
    </row>
    <row r="43" spans="1:3">
      <c r="B43" s="124">
        <v>41</v>
      </c>
      <c r="C43" s="82" t="s">
        <v>423</v>
      </c>
    </row>
    <row r="44" spans="1:3">
      <c r="B44" s="124">
        <v>42</v>
      </c>
      <c r="C44" s="82" t="s">
        <v>452</v>
      </c>
    </row>
    <row r="45" spans="1:3">
      <c r="A45" s="126"/>
      <c r="B45" s="124">
        <v>43</v>
      </c>
      <c r="C45" s="81" t="s">
        <v>270</v>
      </c>
    </row>
    <row r="46" spans="1:3">
      <c r="A46" s="126"/>
      <c r="B46" s="124">
        <v>44</v>
      </c>
      <c r="C46" s="81" t="s">
        <v>471</v>
      </c>
    </row>
    <row r="47" spans="1:3">
      <c r="B47" s="124">
        <v>45</v>
      </c>
      <c r="C47" s="82" t="s">
        <v>424</v>
      </c>
    </row>
    <row r="48" spans="1:3">
      <c r="A48" s="126"/>
      <c r="B48" s="124">
        <v>46</v>
      </c>
      <c r="C48" s="81" t="s">
        <v>271</v>
      </c>
    </row>
    <row r="49" spans="1:3">
      <c r="B49" s="124">
        <v>47</v>
      </c>
      <c r="C49" s="81" t="s">
        <v>272</v>
      </c>
    </row>
    <row r="50" spans="1:3">
      <c r="B50" s="124">
        <v>48</v>
      </c>
      <c r="C50" s="82" t="s">
        <v>583</v>
      </c>
    </row>
    <row r="51" spans="1:3">
      <c r="B51" s="124">
        <v>49</v>
      </c>
      <c r="C51" s="82" t="s">
        <v>453</v>
      </c>
    </row>
    <row r="52" spans="1:3">
      <c r="B52" s="124">
        <v>50</v>
      </c>
      <c r="C52" s="81" t="s">
        <v>273</v>
      </c>
    </row>
    <row r="53" spans="1:3">
      <c r="B53" s="124">
        <v>51</v>
      </c>
      <c r="C53" s="81" t="s">
        <v>274</v>
      </c>
    </row>
    <row r="54" spans="1:3">
      <c r="B54" s="124">
        <v>52</v>
      </c>
      <c r="C54" s="82" t="s">
        <v>454</v>
      </c>
    </row>
    <row r="55" spans="1:3">
      <c r="B55" s="124">
        <v>53</v>
      </c>
      <c r="C55" s="82" t="s">
        <v>446</v>
      </c>
    </row>
    <row r="56" spans="1:3">
      <c r="A56" s="126"/>
      <c r="B56" s="124">
        <v>54</v>
      </c>
      <c r="C56" s="81" t="s">
        <v>275</v>
      </c>
    </row>
    <row r="57" spans="1:3">
      <c r="A57" s="126"/>
      <c r="B57" s="124">
        <v>55</v>
      </c>
      <c r="C57" s="81" t="s">
        <v>584</v>
      </c>
    </row>
    <row r="58" spans="1:3">
      <c r="A58" s="126"/>
      <c r="B58" s="124">
        <v>56</v>
      </c>
      <c r="C58" s="82" t="s">
        <v>455</v>
      </c>
    </row>
    <row r="59" spans="1:3">
      <c r="B59" s="124">
        <v>57</v>
      </c>
      <c r="C59" s="82" t="s">
        <v>425</v>
      </c>
    </row>
    <row r="60" spans="1:3">
      <c r="B60" s="124">
        <v>58</v>
      </c>
      <c r="C60" s="82" t="s">
        <v>586</v>
      </c>
    </row>
    <row r="61" spans="1:3">
      <c r="B61" s="124">
        <v>59</v>
      </c>
      <c r="C61" s="82" t="s">
        <v>426</v>
      </c>
    </row>
    <row r="62" spans="1:3">
      <c r="B62" s="124">
        <v>60</v>
      </c>
      <c r="C62" s="82" t="s">
        <v>484</v>
      </c>
    </row>
    <row r="63" spans="1:3">
      <c r="B63" s="124">
        <v>61</v>
      </c>
      <c r="C63" s="82" t="s">
        <v>447</v>
      </c>
    </row>
    <row r="64" spans="1:3">
      <c r="B64" s="124">
        <v>62</v>
      </c>
      <c r="C64" s="81" t="s">
        <v>276</v>
      </c>
    </row>
    <row r="65" spans="1:3">
      <c r="A65" s="126"/>
      <c r="B65" s="124">
        <v>63</v>
      </c>
      <c r="C65" s="82" t="s">
        <v>427</v>
      </c>
    </row>
    <row r="66" spans="1:3">
      <c r="B66" s="124">
        <v>64</v>
      </c>
      <c r="C66" s="82" t="s">
        <v>588</v>
      </c>
    </row>
    <row r="67" spans="1:3">
      <c r="B67" s="124">
        <v>65</v>
      </c>
      <c r="C67" s="82" t="s">
        <v>428</v>
      </c>
    </row>
    <row r="68" spans="1:3">
      <c r="B68" s="124">
        <v>66</v>
      </c>
      <c r="C68" s="82" t="s">
        <v>457</v>
      </c>
    </row>
    <row r="69" spans="1:3">
      <c r="B69" s="124">
        <v>67</v>
      </c>
      <c r="C69" s="82" t="s">
        <v>429</v>
      </c>
    </row>
    <row r="70" spans="1:3">
      <c r="A70" s="126"/>
      <c r="B70" s="124">
        <v>68</v>
      </c>
      <c r="C70" s="82" t="s">
        <v>430</v>
      </c>
    </row>
    <row r="71" spans="1:3">
      <c r="B71" s="124">
        <v>69</v>
      </c>
      <c r="C71" s="81" t="s">
        <v>277</v>
      </c>
    </row>
    <row r="72" spans="1:3">
      <c r="B72" s="124">
        <v>70</v>
      </c>
      <c r="C72" s="81" t="s">
        <v>278</v>
      </c>
    </row>
    <row r="73" spans="1:3">
      <c r="A73" s="126"/>
      <c r="B73" s="124">
        <v>71</v>
      </c>
      <c r="C73" s="81" t="s">
        <v>279</v>
      </c>
    </row>
    <row r="74" spans="1:3">
      <c r="A74" s="126"/>
      <c r="B74" s="124">
        <v>72</v>
      </c>
      <c r="C74" s="81" t="s">
        <v>280</v>
      </c>
    </row>
    <row r="75" spans="1:3">
      <c r="A75" s="126"/>
      <c r="B75" s="124">
        <v>73</v>
      </c>
      <c r="C75" s="81" t="s">
        <v>281</v>
      </c>
    </row>
    <row r="76" spans="1:3">
      <c r="B76" s="124">
        <v>74</v>
      </c>
      <c r="C76" s="81" t="s">
        <v>302</v>
      </c>
    </row>
    <row r="77" spans="1:3">
      <c r="B77" s="124">
        <v>75</v>
      </c>
      <c r="C77" s="82" t="s">
        <v>431</v>
      </c>
    </row>
    <row r="78" spans="1:3">
      <c r="B78" s="124">
        <v>76</v>
      </c>
      <c r="C78" s="82" t="s">
        <v>458</v>
      </c>
    </row>
    <row r="79" spans="1:3">
      <c r="A79" s="126"/>
      <c r="B79" s="124">
        <v>77</v>
      </c>
      <c r="C79" s="82" t="s">
        <v>459</v>
      </c>
    </row>
    <row r="80" spans="1:3">
      <c r="B80" s="124">
        <v>78</v>
      </c>
      <c r="C80" s="82" t="s">
        <v>460</v>
      </c>
    </row>
    <row r="81" spans="1:3">
      <c r="B81" s="124">
        <v>79</v>
      </c>
      <c r="C81" s="82" t="s">
        <v>590</v>
      </c>
    </row>
    <row r="82" spans="1:3">
      <c r="A82" s="126"/>
      <c r="B82" s="124">
        <v>80</v>
      </c>
      <c r="C82" s="81" t="s">
        <v>282</v>
      </c>
    </row>
    <row r="83" spans="1:3">
      <c r="A83" s="126"/>
      <c r="B83" s="124">
        <v>81</v>
      </c>
      <c r="C83" s="82" t="s">
        <v>432</v>
      </c>
    </row>
    <row r="84" spans="1:3">
      <c r="B84" s="124">
        <v>82</v>
      </c>
      <c r="C84" s="82" t="s">
        <v>592</v>
      </c>
    </row>
    <row r="85" spans="1:3">
      <c r="B85" s="124">
        <v>83</v>
      </c>
      <c r="C85" s="81" t="s">
        <v>283</v>
      </c>
    </row>
    <row r="86" spans="1:3">
      <c r="B86" s="124">
        <v>84</v>
      </c>
      <c r="C86" s="81" t="s">
        <v>284</v>
      </c>
    </row>
    <row r="87" spans="1:3">
      <c r="B87" s="124">
        <v>85</v>
      </c>
      <c r="C87" s="82" t="s">
        <v>303</v>
      </c>
    </row>
    <row r="88" spans="1:3">
      <c r="B88" s="124">
        <v>86</v>
      </c>
      <c r="C88" s="82" t="s">
        <v>593</v>
      </c>
    </row>
    <row r="89" spans="1:3">
      <c r="B89" s="124">
        <v>87</v>
      </c>
      <c r="C89" s="81" t="s">
        <v>299</v>
      </c>
    </row>
    <row r="90" spans="1:3">
      <c r="B90" s="124">
        <v>88</v>
      </c>
      <c r="C90" s="82" t="s">
        <v>445</v>
      </c>
    </row>
    <row r="91" spans="1:3">
      <c r="B91" s="124">
        <v>89</v>
      </c>
      <c r="C91" s="81" t="s">
        <v>473</v>
      </c>
    </row>
    <row r="92" spans="1:3">
      <c r="B92" s="124">
        <v>90</v>
      </c>
      <c r="C92" s="82" t="s">
        <v>474</v>
      </c>
    </row>
    <row r="93" spans="1:3">
      <c r="B93" s="124">
        <v>91</v>
      </c>
      <c r="C93" s="82" t="s">
        <v>475</v>
      </c>
    </row>
    <row r="94" spans="1:3">
      <c r="B94" s="124">
        <v>92</v>
      </c>
      <c r="C94" s="82" t="s">
        <v>476</v>
      </c>
    </row>
    <row r="95" spans="1:3">
      <c r="B95" s="124">
        <v>93</v>
      </c>
      <c r="C95" s="125" t="s">
        <v>477</v>
      </c>
    </row>
    <row r="96" spans="1:3">
      <c r="A96" s="126"/>
      <c r="B96" s="124">
        <v>94</v>
      </c>
      <c r="C96" s="82" t="s">
        <v>479</v>
      </c>
    </row>
    <row r="97" spans="1:3">
      <c r="B97" s="124">
        <v>95</v>
      </c>
      <c r="C97" s="82" t="s">
        <v>478</v>
      </c>
    </row>
    <row r="98" spans="1:3">
      <c r="B98" s="124">
        <v>96</v>
      </c>
      <c r="C98" s="82" t="s">
        <v>480</v>
      </c>
    </row>
    <row r="99" spans="1:3">
      <c r="B99" s="124">
        <v>97</v>
      </c>
      <c r="C99" s="82" t="s">
        <v>481</v>
      </c>
    </row>
    <row r="100" spans="1:3">
      <c r="A100" s="126"/>
      <c r="B100" s="124">
        <v>98</v>
      </c>
      <c r="C100" s="82" t="s">
        <v>482</v>
      </c>
    </row>
    <row r="101" spans="1:3">
      <c r="A101" s="126"/>
      <c r="B101" s="124">
        <v>99</v>
      </c>
      <c r="C101" s="82" t="s">
        <v>483</v>
      </c>
    </row>
    <row r="102" spans="1:3">
      <c r="B102" s="124">
        <v>100</v>
      </c>
      <c r="C102" s="82" t="s">
        <v>581</v>
      </c>
    </row>
    <row r="103" spans="1:3">
      <c r="A103" s="126"/>
      <c r="B103" s="124">
        <v>101</v>
      </c>
      <c r="C103" s="82" t="s">
        <v>603</v>
      </c>
    </row>
    <row r="104" spans="1:3">
      <c r="A104" s="126"/>
      <c r="B104" s="124">
        <v>102</v>
      </c>
      <c r="C104" s="82" t="s">
        <v>604</v>
      </c>
    </row>
    <row r="105" spans="1:3">
      <c r="A105" s="126"/>
      <c r="B105" s="124">
        <v>103</v>
      </c>
      <c r="C105" s="82" t="s">
        <v>605</v>
      </c>
    </row>
    <row r="106" spans="1:3">
      <c r="B106" s="124">
        <v>104</v>
      </c>
      <c r="C106" s="82" t="s">
        <v>568</v>
      </c>
    </row>
    <row r="107" spans="1:3">
      <c r="A107" s="126"/>
      <c r="B107" s="124">
        <v>105</v>
      </c>
      <c r="C107" s="81" t="s">
        <v>462</v>
      </c>
    </row>
    <row r="108" spans="1:3">
      <c r="A108" s="126"/>
      <c r="B108" s="124">
        <v>106</v>
      </c>
      <c r="C108" s="82" t="s">
        <v>285</v>
      </c>
    </row>
    <row r="109" spans="1:3">
      <c r="A109" s="126"/>
      <c r="B109" s="124">
        <v>107</v>
      </c>
      <c r="C109" s="81" t="s">
        <v>286</v>
      </c>
    </row>
    <row r="110" spans="1:3">
      <c r="B110" s="124">
        <v>108</v>
      </c>
      <c r="C110" s="82" t="s">
        <v>597</v>
      </c>
    </row>
    <row r="111" spans="1:3">
      <c r="B111" s="124">
        <v>109</v>
      </c>
      <c r="C111" s="125" t="s">
        <v>412</v>
      </c>
    </row>
    <row r="112" spans="1:3">
      <c r="B112" s="124">
        <v>110</v>
      </c>
      <c r="C112" s="82" t="s">
        <v>569</v>
      </c>
    </row>
    <row r="113" spans="1:3">
      <c r="A113" s="126"/>
      <c r="B113" s="124">
        <v>111</v>
      </c>
      <c r="C113" s="81" t="s">
        <v>298</v>
      </c>
    </row>
    <row r="114" spans="1:3">
      <c r="A114" s="126"/>
      <c r="B114" s="124">
        <v>112</v>
      </c>
      <c r="C114" s="81" t="s">
        <v>486</v>
      </c>
    </row>
    <row r="115" spans="1:3">
      <c r="A115" s="126"/>
      <c r="B115" s="124">
        <v>113</v>
      </c>
      <c r="C115" s="82" t="s">
        <v>434</v>
      </c>
    </row>
    <row r="116" spans="1:3">
      <c r="B116" s="124">
        <v>114</v>
      </c>
      <c r="C116" s="82" t="s">
        <v>435</v>
      </c>
    </row>
    <row r="117" spans="1:3">
      <c r="B117" s="124">
        <v>115</v>
      </c>
      <c r="C117" s="81" t="s">
        <v>287</v>
      </c>
    </row>
    <row r="118" spans="1:3">
      <c r="A118" s="126"/>
      <c r="B118" s="124">
        <v>116</v>
      </c>
      <c r="C118" s="81" t="s">
        <v>288</v>
      </c>
    </row>
    <row r="119" spans="1:3">
      <c r="B119" s="124">
        <v>117</v>
      </c>
      <c r="C119" s="82" t="s">
        <v>600</v>
      </c>
    </row>
    <row r="120" spans="1:3">
      <c r="B120" s="124">
        <v>118</v>
      </c>
      <c r="C120" s="82" t="s">
        <v>436</v>
      </c>
    </row>
    <row r="121" spans="1:3">
      <c r="B121" s="124">
        <v>119</v>
      </c>
      <c r="C121" s="81" t="s">
        <v>289</v>
      </c>
    </row>
    <row r="122" spans="1:3">
      <c r="B122" s="124">
        <v>120</v>
      </c>
      <c r="C122" s="82" t="s">
        <v>582</v>
      </c>
    </row>
    <row r="123" spans="1:3">
      <c r="B123" s="124">
        <v>121</v>
      </c>
      <c r="C123" s="82" t="s">
        <v>585</v>
      </c>
    </row>
    <row r="124" spans="1:3">
      <c r="B124" s="124">
        <v>122</v>
      </c>
      <c r="C124" s="82" t="s">
        <v>456</v>
      </c>
    </row>
    <row r="125" spans="1:3">
      <c r="B125" s="124">
        <v>123</v>
      </c>
      <c r="C125" s="82" t="s">
        <v>591</v>
      </c>
    </row>
    <row r="126" spans="1:3">
      <c r="A126" s="126"/>
      <c r="B126" s="124">
        <v>124</v>
      </c>
      <c r="C126" s="82" t="s">
        <v>485</v>
      </c>
    </row>
    <row r="127" spans="1:3">
      <c r="A127" s="126"/>
      <c r="B127" s="124">
        <v>125</v>
      </c>
      <c r="C127" s="82" t="s">
        <v>433</v>
      </c>
    </row>
    <row r="128" spans="1:3">
      <c r="B128" s="124">
        <v>126</v>
      </c>
      <c r="C128" s="82" t="s">
        <v>567</v>
      </c>
    </row>
    <row r="129" spans="1:3">
      <c r="B129" s="124">
        <v>127</v>
      </c>
      <c r="C129" s="125" t="s">
        <v>573</v>
      </c>
    </row>
    <row r="130" spans="1:3">
      <c r="A130" s="126"/>
      <c r="B130" s="124">
        <v>128</v>
      </c>
      <c r="C130" s="82" t="s">
        <v>578</v>
      </c>
    </row>
    <row r="131" spans="1:3">
      <c r="B131" s="124">
        <v>129</v>
      </c>
      <c r="C131" s="81" t="s">
        <v>472</v>
      </c>
    </row>
    <row r="132" spans="1:3">
      <c r="B132" s="124">
        <v>130</v>
      </c>
      <c r="C132" s="82" t="s">
        <v>587</v>
      </c>
    </row>
    <row r="133" spans="1:3">
      <c r="B133" s="124">
        <v>131</v>
      </c>
      <c r="C133" s="82" t="s">
        <v>594</v>
      </c>
    </row>
    <row r="134" spans="1:3">
      <c r="B134" s="124">
        <v>132</v>
      </c>
      <c r="C134" s="82" t="s">
        <v>595</v>
      </c>
    </row>
    <row r="135" spans="1:3">
      <c r="B135" s="124">
        <v>133</v>
      </c>
      <c r="C135" s="82" t="s">
        <v>596</v>
      </c>
    </row>
    <row r="136" spans="1:3">
      <c r="B136" s="124">
        <v>134</v>
      </c>
      <c r="C136" s="82" t="s">
        <v>599</v>
      </c>
    </row>
    <row r="137" spans="1:3">
      <c r="B137" s="124">
        <v>135</v>
      </c>
      <c r="C137" s="82" t="s">
        <v>572</v>
      </c>
    </row>
    <row r="138" spans="1:3">
      <c r="B138" s="124">
        <v>136</v>
      </c>
      <c r="C138" s="82" t="s">
        <v>437</v>
      </c>
    </row>
    <row r="139" spans="1:3">
      <c r="B139" s="124">
        <v>137</v>
      </c>
      <c r="C139" s="82" t="s">
        <v>461</v>
      </c>
    </row>
    <row r="140" spans="1:3">
      <c r="B140" s="124"/>
    </row>
    <row r="141" spans="1:3">
      <c r="B141" s="124"/>
    </row>
    <row r="142" spans="1:3">
      <c r="B142" s="124"/>
    </row>
    <row r="143" spans="1:3">
      <c r="B143" s="124"/>
    </row>
    <row r="144" spans="1:3">
      <c r="B144" s="124"/>
    </row>
    <row r="145" spans="2:2">
      <c r="B145" s="124"/>
    </row>
    <row r="146" spans="2:2">
      <c r="B146" s="124"/>
    </row>
    <row r="147" spans="2:2">
      <c r="B147" s="124"/>
    </row>
    <row r="148" spans="2:2">
      <c r="B148" s="124"/>
    </row>
    <row r="149" spans="2:2">
      <c r="B149" s="124"/>
    </row>
    <row r="150" spans="2:2">
      <c r="B150" s="124"/>
    </row>
    <row r="151" spans="2:2">
      <c r="B151" s="124"/>
    </row>
    <row r="152" spans="2:2">
      <c r="B152" s="124"/>
    </row>
    <row r="153" spans="2:2">
      <c r="B153" s="124"/>
    </row>
    <row r="154" spans="2:2">
      <c r="B154" s="124"/>
    </row>
    <row r="155" spans="2:2">
      <c r="B155" s="124"/>
    </row>
    <row r="156" spans="2:2">
      <c r="B156" s="124"/>
    </row>
    <row r="157" spans="2:2">
      <c r="B157" s="124"/>
    </row>
    <row r="158" spans="2:2">
      <c r="B158" s="124"/>
    </row>
    <row r="159" spans="2:2">
      <c r="B159" s="124"/>
    </row>
    <row r="160" spans="2:2">
      <c r="B160" s="124"/>
    </row>
    <row r="161" spans="2:2">
      <c r="B161" s="124"/>
    </row>
    <row r="162" spans="2:2">
      <c r="B162" s="124"/>
    </row>
    <row r="163" spans="2:2">
      <c r="B163" s="124"/>
    </row>
    <row r="164" spans="2:2">
      <c r="B164" s="124"/>
    </row>
    <row r="165" spans="2:2">
      <c r="B165" s="124"/>
    </row>
    <row r="166" spans="2:2">
      <c r="B166" s="124"/>
    </row>
    <row r="167" spans="2:2">
      <c r="B167" s="124"/>
    </row>
    <row r="168" spans="2:2">
      <c r="B168" s="124"/>
    </row>
    <row r="169" spans="2:2">
      <c r="B169" s="124"/>
    </row>
    <row r="170" spans="2:2">
      <c r="B170" s="124"/>
    </row>
    <row r="171" spans="2:2">
      <c r="B171" s="124"/>
    </row>
    <row r="172" spans="2:2">
      <c r="B172" s="124"/>
    </row>
    <row r="173" spans="2:2">
      <c r="B173" s="124"/>
    </row>
    <row r="174" spans="2:2">
      <c r="B174" s="124"/>
    </row>
    <row r="175" spans="2:2">
      <c r="B175" s="124"/>
    </row>
    <row r="176" spans="2:2">
      <c r="B176" s="124"/>
    </row>
    <row r="177" spans="2:2">
      <c r="B177" s="124"/>
    </row>
    <row r="178" spans="2:2">
      <c r="B178" s="124"/>
    </row>
    <row r="179" spans="2:2">
      <c r="B179" s="124"/>
    </row>
    <row r="180" spans="2:2">
      <c r="B180" s="124"/>
    </row>
    <row r="181" spans="2:2">
      <c r="B181" s="124"/>
    </row>
    <row r="182" spans="2:2">
      <c r="B182" s="124"/>
    </row>
    <row r="183" spans="2:2">
      <c r="B183" s="124"/>
    </row>
    <row r="184" spans="2:2">
      <c r="B184" s="124"/>
    </row>
    <row r="185" spans="2:2">
      <c r="B185" s="124"/>
    </row>
    <row r="186" spans="2:2">
      <c r="B186" s="124"/>
    </row>
    <row r="187" spans="2:2">
      <c r="B187" s="124"/>
    </row>
    <row r="188" spans="2:2">
      <c r="B188" s="124"/>
    </row>
    <row r="189" spans="2:2">
      <c r="B189" s="124"/>
    </row>
    <row r="190" spans="2:2">
      <c r="B190" s="124"/>
    </row>
    <row r="191" spans="2:2">
      <c r="B191" s="124"/>
    </row>
    <row r="192" spans="2:2">
      <c r="B192" s="124"/>
    </row>
    <row r="193" spans="2:2">
      <c r="B193" s="124"/>
    </row>
    <row r="194" spans="2:2">
      <c r="B194" s="124"/>
    </row>
    <row r="195" spans="2:2">
      <c r="B195" s="124"/>
    </row>
    <row r="196" spans="2:2">
      <c r="B196" s="124"/>
    </row>
    <row r="197" spans="2:2">
      <c r="B197" s="124"/>
    </row>
    <row r="198" spans="2:2">
      <c r="B198" s="124"/>
    </row>
    <row r="199" spans="2:2">
      <c r="B199" s="124"/>
    </row>
    <row r="200" spans="2:2">
      <c r="B200" s="124"/>
    </row>
    <row r="201" spans="2:2">
      <c r="B201" s="124"/>
    </row>
    <row r="202" spans="2:2">
      <c r="B202" s="124"/>
    </row>
    <row r="203" spans="2:2">
      <c r="B203" s="124"/>
    </row>
    <row r="204" spans="2:2">
      <c r="B204" s="124"/>
    </row>
    <row r="205" spans="2:2">
      <c r="B205" s="124"/>
    </row>
    <row r="206" spans="2:2">
      <c r="B206" s="124"/>
    </row>
    <row r="207" spans="2:2">
      <c r="B207" s="124"/>
    </row>
    <row r="208" spans="2:2">
      <c r="B208" s="124"/>
    </row>
    <row r="209" spans="2:3">
      <c r="B209" s="124"/>
    </row>
    <row r="210" spans="2:3">
      <c r="B210" s="124"/>
    </row>
    <row r="211" spans="2:3">
      <c r="B211" s="124"/>
    </row>
    <row r="212" spans="2:3">
      <c r="B212" s="124"/>
      <c r="C212" s="82" t="s">
        <v>520</v>
      </c>
    </row>
  </sheetData>
  <sortState ref="A4:C138">
    <sortCondition ref="C3"/>
  </sortState>
  <mergeCells count="1">
    <mergeCell ref="B1:C1"/>
  </mergeCells>
  <phoneticPr fontId="37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Plan6"/>
  <dimension ref="A1:K138"/>
  <sheetViews>
    <sheetView workbookViewId="0">
      <selection activeCell="M25" sqref="M25"/>
    </sheetView>
  </sheetViews>
  <sheetFormatPr defaultColWidth="9.140625" defaultRowHeight="12.75"/>
  <cols>
    <col min="1" max="1" width="4.140625" style="2" customWidth="1"/>
    <col min="2" max="2" width="8.5703125" style="3" customWidth="1"/>
    <col min="3" max="3" width="35.7109375" style="2" customWidth="1"/>
    <col min="4" max="4" width="25.140625" style="2" bestFit="1" customWidth="1"/>
    <col min="5" max="5" width="11.85546875" style="2" customWidth="1"/>
    <col min="6" max="16384" width="9.140625" style="2"/>
  </cols>
  <sheetData>
    <row r="1" spans="1:11">
      <c r="B1" s="3" t="s">
        <v>223</v>
      </c>
      <c r="G1" s="4"/>
    </row>
    <row r="2" spans="1:11">
      <c r="G2" s="4"/>
    </row>
    <row r="3" spans="1:11">
      <c r="G3" s="4"/>
    </row>
    <row r="4" spans="1:11">
      <c r="A4" s="5"/>
      <c r="B4" s="6"/>
      <c r="C4" s="5"/>
      <c r="D4" s="5"/>
      <c r="E4" s="5"/>
      <c r="F4" s="5"/>
      <c r="G4" s="4"/>
      <c r="H4" s="7"/>
      <c r="I4" s="7"/>
      <c r="J4" s="7"/>
      <c r="K4" s="7"/>
    </row>
    <row r="5" spans="1:11">
      <c r="A5" s="7"/>
      <c r="B5" s="59"/>
      <c r="C5" s="7"/>
      <c r="D5" s="7"/>
      <c r="E5" s="7"/>
      <c r="F5" s="7"/>
      <c r="G5" s="4"/>
      <c r="H5" s="7"/>
      <c r="I5" s="7"/>
      <c r="J5" s="7"/>
      <c r="K5" s="7"/>
    </row>
    <row r="6" spans="1:11">
      <c r="A6" s="7"/>
      <c r="B6" s="59"/>
      <c r="C6" s="7"/>
      <c r="D6" s="7"/>
      <c r="E6" s="7"/>
      <c r="F6" s="7"/>
      <c r="G6" s="4"/>
      <c r="H6" s="7"/>
      <c r="I6" s="7"/>
      <c r="J6" s="7"/>
      <c r="K6" s="7"/>
    </row>
    <row r="7" spans="1:11">
      <c r="G7" s="4"/>
    </row>
    <row r="8" spans="1:11" ht="25.5">
      <c r="A8" s="195" t="e">
        <f>VLOOKUP(Cadastro!#REF!,Cadastro!B3:C44,2,FALSE)</f>
        <v>#REF!</v>
      </c>
      <c r="B8" s="196"/>
      <c r="C8" s="196"/>
      <c r="D8" s="196"/>
      <c r="E8" s="196"/>
      <c r="F8" s="197"/>
      <c r="G8" s="8"/>
      <c r="H8" s="8"/>
      <c r="I8" s="8"/>
      <c r="J8" s="8"/>
      <c r="K8" s="8"/>
    </row>
    <row r="10" spans="1:11" ht="19.5">
      <c r="A10" s="187" t="s">
        <v>243</v>
      </c>
      <c r="B10" s="187"/>
      <c r="C10" s="187"/>
      <c r="D10" s="187"/>
      <c r="E10" s="187"/>
      <c r="F10" s="187"/>
      <c r="G10" s="9"/>
      <c r="H10" s="9"/>
      <c r="I10" s="9"/>
      <c r="J10" s="9"/>
      <c r="K10" s="9"/>
    </row>
    <row r="11" spans="1:11" ht="13.5" thickBot="1"/>
    <row r="12" spans="1:11" ht="13.5" thickBot="1">
      <c r="A12" s="17"/>
      <c r="B12" s="18"/>
      <c r="C12" s="83" t="s">
        <v>224</v>
      </c>
      <c r="D12" s="84" t="s">
        <v>225</v>
      </c>
      <c r="E12" s="54"/>
      <c r="F12" s="54"/>
    </row>
    <row r="13" spans="1:11" ht="15.75" customHeight="1" thickTop="1">
      <c r="A13" s="17"/>
      <c r="B13" s="18">
        <v>1</v>
      </c>
      <c r="C13" s="12" t="s">
        <v>348</v>
      </c>
      <c r="D13" s="76">
        <f>' P R E V I S Ã O '!D10</f>
        <v>15446.72</v>
      </c>
      <c r="E13" s="75">
        <v>12</v>
      </c>
      <c r="F13" s="55">
        <v>1</v>
      </c>
    </row>
    <row r="14" spans="1:11">
      <c r="A14" s="17"/>
      <c r="B14" s="18">
        <v>2</v>
      </c>
      <c r="C14" s="12" t="str">
        <f>IF(ISERROR(VLOOKUP(B14,' P R E V I S Ã O '!B10:D18,2,FALSE)=TRUE),"",VLOOKUP(B14,' P R E V I S Ã O '!$B$10:$D$18,2,FALSE))</f>
        <v>Fundo de Reserva</v>
      </c>
      <c r="D14" s="13">
        <f>IF(ISERROR(VLOOKUP(B14,' P R E V I S Ã O '!$B$10:$D$18,3,FALSE)=TRUE),"",VLOOKUP(B14,' P R E V I S Ã O '!$B$10:$D$18,3,FALSE))</f>
        <v>1544.56</v>
      </c>
      <c r="E14" s="17"/>
      <c r="F14" s="55">
        <v>2</v>
      </c>
    </row>
    <row r="15" spans="1:11">
      <c r="A15" s="17"/>
      <c r="B15" s="18"/>
      <c r="C15" s="57"/>
      <c r="D15" s="63"/>
      <c r="E15" s="17"/>
      <c r="F15" s="55">
        <v>3</v>
      </c>
    </row>
    <row r="16" spans="1:11" ht="13.5" thickBot="1">
      <c r="A16" s="17"/>
      <c r="B16" s="18"/>
      <c r="C16" s="85" t="s">
        <v>226</v>
      </c>
      <c r="D16" s="86">
        <f>SUM(D13:D14)</f>
        <v>16991.28</v>
      </c>
      <c r="E16" s="17"/>
      <c r="F16" s="55">
        <v>4</v>
      </c>
    </row>
    <row r="17" spans="1:6" ht="10.5" customHeight="1" thickBot="1">
      <c r="A17" s="17"/>
      <c r="B17" s="18"/>
      <c r="E17" s="17"/>
      <c r="F17" s="55">
        <v>5</v>
      </c>
    </row>
    <row r="18" spans="1:6">
      <c r="A18" s="17"/>
      <c r="B18" s="18"/>
      <c r="C18" s="83" t="s">
        <v>227</v>
      </c>
      <c r="D18" s="87" t="s">
        <v>225</v>
      </c>
      <c r="E18" s="87" t="s">
        <v>242</v>
      </c>
      <c r="F18" s="55">
        <v>6</v>
      </c>
    </row>
    <row r="19" spans="1:6" ht="15.75" customHeight="1">
      <c r="A19" s="17"/>
      <c r="B19" s="18">
        <v>1</v>
      </c>
      <c r="C19" s="12" t="s">
        <v>45</v>
      </c>
      <c r="D19" s="13">
        <f>' P R E V I S Ã O '!E22</f>
        <v>4223.3525</v>
      </c>
      <c r="E19" s="97">
        <f>IF(ISERROR(D19/$D$16%)=TRUE,"",D19/$D$16%)</f>
        <v>24.855999665710886</v>
      </c>
      <c r="F19" s="55">
        <v>7</v>
      </c>
    </row>
    <row r="20" spans="1:6">
      <c r="A20" s="17"/>
      <c r="B20" s="18">
        <v>2</v>
      </c>
      <c r="C20" s="12" t="str">
        <f>IF(ISERROR(VLOOKUP(B20,' P R E V I S Ã O '!$B$22:$D$47,2,FALSE)=TRUE),"",VLOOKUP(B20,' P R E V I S Ã O '!$B$22:$D$47,2,FALSE))</f>
        <v>Luz do Condomínio</v>
      </c>
      <c r="D20" s="13">
        <f>IF(ISERROR(VLOOKUP(B20,' P R E V I S Ã O '!$B$22:$E$47,4,FALSE)=TRUE),"",VLOOKUP(B20,' P R E V I S Ã O '!$B$22:$E$47,4,FALSE))</f>
        <v>808.34916666666675</v>
      </c>
      <c r="E20" s="97">
        <f t="shared" ref="E20:E30" si="0">IF(ISERROR(D20/$D$16%)=TRUE,"",D20/$D$16%)</f>
        <v>4.7574353825413205</v>
      </c>
      <c r="F20" s="55">
        <v>8</v>
      </c>
    </row>
    <row r="21" spans="1:6">
      <c r="A21" s="17"/>
      <c r="B21" s="18">
        <v>3</v>
      </c>
      <c r="C21" s="12" t="str">
        <f>IF(ISERROR(VLOOKUP(B21,' P R E V I S Ã O '!$B$22:$D$47,2,FALSE)=TRUE),"",VLOOKUP(B21,' P R E V I S Ã O '!$B$22:$D$47,2,FALSE))</f>
        <v>Água do Condomínio</v>
      </c>
      <c r="D21" s="13">
        <f>IF(ISERROR(VLOOKUP(B21,' P R E V I S Ã O '!$B$22:$E$47,4,FALSE)=TRUE),"",VLOOKUP(B21,' P R E V I S Ã O '!$B$22:$E$47,4,FALSE))</f>
        <v>4941.9333333333334</v>
      </c>
      <c r="E21" s="97">
        <f t="shared" si="0"/>
        <v>29.085115031553446</v>
      </c>
      <c r="F21" s="55">
        <v>9</v>
      </c>
    </row>
    <row r="22" spans="1:6">
      <c r="A22" s="17"/>
      <c r="B22" s="18">
        <v>4</v>
      </c>
      <c r="C22" s="12" t="str">
        <f>IF(ISERROR(VLOOKUP(B22,' P R E V I S Ã O '!$B$22:$D$47,2,FALSE)=TRUE),"",VLOOKUP(B22,' P R E V I S Ã O '!$B$22:$D$47,2,FALSE))</f>
        <v>Material de Limpeza</v>
      </c>
      <c r="D22" s="13">
        <f>IF(ISERROR(VLOOKUP(B22,' P R E V I S Ã O '!$B$22:$E$47,4,FALSE)=TRUE),"",VLOOKUP(B22,' P R E V I S Ã O '!$B$22:$E$47,4,FALSE))</f>
        <v>220.79999999999998</v>
      </c>
      <c r="E22" s="97">
        <f t="shared" si="0"/>
        <v>1.2994900913880532</v>
      </c>
      <c r="F22" s="55">
        <v>10</v>
      </c>
    </row>
    <row r="23" spans="1:6">
      <c r="A23" s="17"/>
      <c r="B23" s="18">
        <v>5</v>
      </c>
      <c r="C23" s="12" t="str">
        <f>IF(ISERROR(VLOOKUP(B23,' P R E V I S Ã O '!$B$22:$D$47,2,FALSE)=TRUE),"",VLOOKUP(B23,' P R E V I S Ã O '!$B$22:$D$47,2,FALSE))</f>
        <v>Gastos com conservação</v>
      </c>
      <c r="D23" s="13">
        <f>IF(ISERROR(VLOOKUP(B23,' P R E V I S Ã O '!$B$22:$E$47,4,FALSE)=TRUE),"",VLOOKUP(B23,' P R E V I S Ã O '!$B$22:$E$47,4,FALSE))</f>
        <v>1400.5783333333336</v>
      </c>
      <c r="E23" s="97">
        <f t="shared" si="0"/>
        <v>8.2429242136750958</v>
      </c>
      <c r="F23" s="55">
        <v>11</v>
      </c>
    </row>
    <row r="24" spans="1:6">
      <c r="A24" s="17"/>
      <c r="B24" s="18">
        <v>6</v>
      </c>
      <c r="C24" s="12" t="str">
        <f>IF(ISERROR(VLOOKUP(B24,' P R E V I S Ã O '!$B$22:$D$47,2,FALSE)=TRUE),"",VLOOKUP(B24,' P R E V I S Ã O '!$B$22:$D$47,2,FALSE))</f>
        <v>Tarifas Bancárias</v>
      </c>
      <c r="D24" s="13">
        <f>IF(ISERROR(VLOOKUP(B24,' P R E V I S Ã O '!$B$22:$E$47,4,FALSE)=TRUE),"",VLOOKUP(B24,' P R E V I S Ã O '!$B$22:$E$47,4,FALSE))</f>
        <v>84.493333333333325</v>
      </c>
      <c r="E24" s="97">
        <f t="shared" si="0"/>
        <v>0.49727468050278339</v>
      </c>
      <c r="F24" s="55">
        <v>12</v>
      </c>
    </row>
    <row r="25" spans="1:6">
      <c r="A25" s="17"/>
      <c r="B25" s="18">
        <v>7</v>
      </c>
      <c r="C25" s="12" t="str">
        <f>IF(ISERROR(VLOOKUP(B25,' P R E V I S Ã O '!$B$22:$D$47,2,FALSE)=TRUE),"",VLOOKUP(B25,' P R E V I S Ã O '!$B$22:$D$47,2,FALSE))</f>
        <v>Seguro de Incêndio Obrigatório</v>
      </c>
      <c r="D25" s="13">
        <f>IF(ISERROR(VLOOKUP(B25,' P R E V I S Ã O '!$B$22:$E$47,4,FALSE)=TRUE),"",VLOOKUP(B25,' P R E V I S Ã O '!$B$22:$E$47,4,FALSE))</f>
        <v>380.53250000000003</v>
      </c>
      <c r="E25" s="97">
        <f t="shared" si="0"/>
        <v>2.2395752409471217</v>
      </c>
      <c r="F25" s="73"/>
    </row>
    <row r="26" spans="1:6">
      <c r="A26" s="17"/>
      <c r="B26" s="18">
        <v>8</v>
      </c>
      <c r="C26" s="12" t="str">
        <f>IF(ISERROR(VLOOKUP(B26,' P R E V I S Ã O '!$B$22:$D$47,2,FALSE)=TRUE),"",VLOOKUP(B26,' P R E V I S Ã O '!$B$22:$D$47,2,FALSE))</f>
        <v>Contrato Manutenção de Elevador</v>
      </c>
      <c r="D26" s="13">
        <f>IF(ISERROR(VLOOKUP(B26,' P R E V I S Ã O '!$B$22:$E$47,4,FALSE)=TRUE),"",VLOOKUP(B26,' P R E V I S Ã O '!$B$22:$E$47,4,FALSE))</f>
        <v>880.12</v>
      </c>
      <c r="E26" s="97">
        <f t="shared" si="0"/>
        <v>5.1798334204368368</v>
      </c>
      <c r="F26" s="54"/>
    </row>
    <row r="27" spans="1:6">
      <c r="A27" s="17"/>
      <c r="B27" s="18">
        <v>9</v>
      </c>
      <c r="C27" s="12" t="str">
        <f>IF(ISERROR(VLOOKUP(B27,' P R E V I S Ã O '!$B$22:$D$47,2,FALSE)=TRUE),"",VLOOKUP(B27,' P R E V I S Ã O '!$B$22:$D$47,2,FALSE))</f>
        <v>Contrato Sena Contabilidade</v>
      </c>
      <c r="D27" s="13">
        <f>IF(ISERROR(VLOOKUP(B27,' P R E V I S Ã O '!$B$22:$E$47,4,FALSE)=TRUE),"",VLOOKUP(B27,' P R E V I S Ã O '!$B$22:$E$47,4,FALSE))</f>
        <v>436.21000000000004</v>
      </c>
      <c r="E27" s="97">
        <f t="shared" si="0"/>
        <v>2.5672580288241975</v>
      </c>
      <c r="F27" s="54"/>
    </row>
    <row r="28" spans="1:6">
      <c r="A28" s="17"/>
      <c r="B28" s="18">
        <v>10</v>
      </c>
      <c r="C28" s="12" t="str">
        <f>IF(ISERROR(VLOOKUP(B28,' P R E V I S Ã O '!$B$22:$D$47,2,FALSE)=TRUE),"",VLOOKUP(B28,' P R E V I S Ã O '!$B$22:$D$47,2,FALSE))</f>
        <v>Contrato Prestação Serviço Administração</v>
      </c>
      <c r="D28" s="13">
        <f>IF(ISERROR(VLOOKUP(B28,' P R E V I S Ã O '!$B$22:$E$47,4,FALSE)=TRUE),"",VLOOKUP(B28,' P R E V I S Ã O '!$B$22:$E$47,4,FALSE))</f>
        <v>1378</v>
      </c>
      <c r="E28" s="97">
        <f t="shared" si="0"/>
        <v>8.11004232759392</v>
      </c>
      <c r="F28" s="54"/>
    </row>
    <row r="29" spans="1:6">
      <c r="A29" s="17"/>
      <c r="B29" s="18">
        <v>11</v>
      </c>
      <c r="C29" s="12" t="str">
        <f>IF(ISERROR(VLOOKUP(B29,' P R E V I S Ã O '!$B$22:$D$47,2,FALSE)=TRUE),"",VLOOKUP(B29,' P R E V I S Ã O '!$B$22:$D$47,2,FALSE))</f>
        <v>Despesas Administrativas</v>
      </c>
      <c r="D29" s="13">
        <f>IF(ISERROR(VLOOKUP(B29,' P R E V I S Ã O '!$B$22:$E$47,4,FALSE)=TRUE),"",VLOOKUP(B29,' P R E V I S Ã O '!$B$22:$E$47,4,FALSE))</f>
        <v>189.89166666666665</v>
      </c>
      <c r="E29" s="97">
        <f t="shared" si="0"/>
        <v>1.1175830582902917</v>
      </c>
      <c r="F29" s="54"/>
    </row>
    <row r="30" spans="1:6">
      <c r="A30" s="17"/>
      <c r="B30" s="18">
        <v>12</v>
      </c>
      <c r="C30" s="12" t="str">
        <f>IF(ISERROR(VLOOKUP(B30,' P R E V I S Ã O '!$B$22:$D$47,2,FALSE)=TRUE),"",VLOOKUP(B30,' P R E V I S Ã O '!$B$22:$D$47,2,FALSE))</f>
        <v>Pró-labore do Síndico</v>
      </c>
      <c r="D30" s="13">
        <f>IF(ISERROR(VLOOKUP(B30,' P R E V I S Ã O '!$B$22:$E$47,4,FALSE)=TRUE),"",VLOOKUP(B30,' P R E V I S Ã O '!$B$22:$E$47,4,FALSE))</f>
        <v>849.98333333333323</v>
      </c>
      <c r="E30" s="97">
        <f t="shared" si="0"/>
        <v>5.0024679325709034</v>
      </c>
      <c r="F30" s="54"/>
    </row>
    <row r="31" spans="1:6">
      <c r="A31" s="54"/>
      <c r="B31" s="58"/>
      <c r="C31" s="88" t="s">
        <v>228</v>
      </c>
      <c r="D31" s="89">
        <f>SUM(D19:D30)</f>
        <v>15794.244166666667</v>
      </c>
      <c r="E31" s="94"/>
      <c r="F31" s="54"/>
    </row>
    <row r="32" spans="1:6" ht="18" customHeight="1">
      <c r="A32" s="54"/>
      <c r="B32" s="18">
        <v>99</v>
      </c>
      <c r="C32" s="99" t="str">
        <f>"Aumento previsto(salário,tarifas pub.,serviços)  =  " &amp; E32*100 &amp; " %"</f>
        <v>Aumento previsto(salário,tarifas pub.,serviços)  =  10 %</v>
      </c>
      <c r="D32" s="13">
        <f>D31*E32</f>
        <v>1579.4244166666667</v>
      </c>
      <c r="E32" s="98">
        <f>IF(ISERROR(VLOOKUP(B32,' P R E V I S Ã O '!$B$22:$E$49,4,FALSE)=TRUE),"",VLOOKUP(B32,' P R E V I S Ã O '!$B$22:$E$49,4,FALSE))</f>
        <v>0.1</v>
      </c>
      <c r="F32" s="54"/>
    </row>
    <row r="33" spans="1:6" ht="10.5" customHeight="1">
      <c r="A33" s="54"/>
      <c r="B33" s="58"/>
      <c r="C33" s="12"/>
      <c r="D33" s="19"/>
      <c r="E33" s="92"/>
      <c r="F33" s="54"/>
    </row>
    <row r="34" spans="1:6" ht="13.5" thickBot="1">
      <c r="A34" s="54"/>
      <c r="B34" s="58"/>
      <c r="C34" s="85" t="s">
        <v>226</v>
      </c>
      <c r="D34" s="86">
        <f>D31+D32</f>
        <v>17373.668583333332</v>
      </c>
      <c r="E34" s="96"/>
      <c r="F34" s="54"/>
    </row>
    <row r="35" spans="1:6" ht="10.5" customHeight="1" thickBot="1">
      <c r="A35" s="54"/>
      <c r="B35" s="58"/>
      <c r="E35" s="95"/>
      <c r="F35" s="54"/>
    </row>
    <row r="36" spans="1:6" ht="13.5" thickBot="1">
      <c r="C36" s="90" t="str">
        <f>IF(D36&lt;0,"SALDO ( DÉFICIT )","SALDO ( SUPERÁVIT )")</f>
        <v>SALDO ( DÉFICIT )</v>
      </c>
      <c r="D36" s="91">
        <f>D16-D34</f>
        <v>-382.38858333333337</v>
      </c>
      <c r="E36" s="93"/>
      <c r="F36" s="54"/>
    </row>
    <row r="37" spans="1:6" ht="11.25" customHeight="1"/>
    <row r="52" spans="1:6" ht="15.75">
      <c r="B52" s="78"/>
      <c r="C52" s="80"/>
      <c r="D52" s="25"/>
    </row>
    <row r="53" spans="1:6" ht="15.75">
      <c r="B53" s="23"/>
      <c r="C53" s="24"/>
      <c r="D53" s="25"/>
    </row>
    <row r="54" spans="1:6" ht="12.75" customHeight="1">
      <c r="A54" s="77"/>
      <c r="B54" s="23"/>
      <c r="C54" s="24"/>
      <c r="D54" s="25"/>
    </row>
    <row r="55" spans="1:6">
      <c r="C55" s="26"/>
    </row>
    <row r="56" spans="1:6">
      <c r="A56" s="27"/>
      <c r="B56" s="28"/>
      <c r="C56" s="27"/>
      <c r="D56" s="27"/>
      <c r="E56" s="27"/>
      <c r="F56" s="27"/>
    </row>
    <row r="67" spans="1:5">
      <c r="A67" s="54"/>
      <c r="B67" s="58"/>
      <c r="C67" s="54"/>
      <c r="D67" s="54"/>
      <c r="E67" s="54"/>
    </row>
    <row r="68" spans="1:5">
      <c r="D68" s="74"/>
      <c r="E68" s="54"/>
    </row>
    <row r="69" spans="1:5">
      <c r="D69" s="74"/>
      <c r="E69" s="54"/>
    </row>
    <row r="70" spans="1:5">
      <c r="D70" s="74"/>
      <c r="E70" s="54"/>
    </row>
    <row r="71" spans="1:5">
      <c r="D71" s="74"/>
      <c r="E71" s="54"/>
    </row>
    <row r="72" spans="1:5">
      <c r="D72" s="74"/>
      <c r="E72" s="54"/>
    </row>
    <row r="73" spans="1:5">
      <c r="D73" s="74"/>
      <c r="E73" s="54"/>
    </row>
    <row r="74" spans="1:5">
      <c r="D74" s="74"/>
      <c r="E74" s="54"/>
    </row>
    <row r="75" spans="1:5">
      <c r="D75" s="74"/>
      <c r="E75" s="54"/>
    </row>
    <row r="76" spans="1:5">
      <c r="D76" s="74"/>
      <c r="E76" s="54"/>
    </row>
    <row r="77" spans="1:5">
      <c r="D77" s="74"/>
      <c r="E77" s="54"/>
    </row>
    <row r="78" spans="1:5">
      <c r="D78" s="74"/>
      <c r="E78" s="54"/>
    </row>
    <row r="79" spans="1:5">
      <c r="D79" s="74"/>
      <c r="E79" s="54"/>
    </row>
    <row r="80" spans="1:5">
      <c r="D80" s="74"/>
      <c r="E80" s="54"/>
    </row>
    <row r="81" spans="4:5">
      <c r="D81" s="74"/>
      <c r="E81" s="54"/>
    </row>
    <row r="82" spans="4:5">
      <c r="D82" s="74"/>
      <c r="E82" s="54"/>
    </row>
    <row r="83" spans="4:5">
      <c r="D83" s="74"/>
      <c r="E83" s="54"/>
    </row>
    <row r="84" spans="4:5">
      <c r="D84" s="74"/>
      <c r="E84" s="54"/>
    </row>
    <row r="85" spans="4:5">
      <c r="D85" s="74"/>
      <c r="E85" s="54"/>
    </row>
    <row r="86" spans="4:5">
      <c r="D86" s="74"/>
      <c r="E86" s="54"/>
    </row>
    <row r="87" spans="4:5">
      <c r="D87" s="74"/>
      <c r="E87" s="54"/>
    </row>
    <row r="88" spans="4:5">
      <c r="D88" s="74"/>
      <c r="E88" s="54"/>
    </row>
    <row r="89" spans="4:5">
      <c r="D89" s="74"/>
      <c r="E89" s="54"/>
    </row>
    <row r="90" spans="4:5">
      <c r="D90" s="74"/>
      <c r="E90" s="54"/>
    </row>
    <row r="91" spans="4:5">
      <c r="D91" s="74"/>
      <c r="E91" s="54"/>
    </row>
    <row r="92" spans="4:5">
      <c r="D92" s="74"/>
      <c r="E92" s="54"/>
    </row>
    <row r="93" spans="4:5">
      <c r="D93" s="74"/>
      <c r="E93" s="54"/>
    </row>
    <row r="94" spans="4:5">
      <c r="D94" s="74"/>
      <c r="E94" s="54"/>
    </row>
    <row r="95" spans="4:5">
      <c r="D95" s="74"/>
      <c r="E95" s="54"/>
    </row>
    <row r="96" spans="4:5">
      <c r="D96" s="74"/>
      <c r="E96" s="54"/>
    </row>
    <row r="97" spans="4:5">
      <c r="D97" s="74"/>
      <c r="E97" s="54"/>
    </row>
    <row r="98" spans="4:5">
      <c r="D98" s="74"/>
      <c r="E98" s="54"/>
    </row>
    <row r="99" spans="4:5">
      <c r="D99" s="74"/>
      <c r="E99" s="54"/>
    </row>
    <row r="100" spans="4:5">
      <c r="D100" s="74"/>
      <c r="E100" s="54"/>
    </row>
    <row r="101" spans="4:5">
      <c r="D101" s="74"/>
      <c r="E101" s="54"/>
    </row>
    <row r="102" spans="4:5">
      <c r="D102" s="74"/>
      <c r="E102" s="54"/>
    </row>
    <row r="103" spans="4:5">
      <c r="D103" s="74"/>
      <c r="E103" s="54"/>
    </row>
    <row r="104" spans="4:5">
      <c r="D104" s="74"/>
      <c r="E104" s="54"/>
    </row>
    <row r="105" spans="4:5">
      <c r="D105" s="74"/>
      <c r="E105" s="54"/>
    </row>
    <row r="106" spans="4:5">
      <c r="D106" s="74"/>
      <c r="E106" s="54"/>
    </row>
    <row r="107" spans="4:5">
      <c r="D107" s="74"/>
      <c r="E107" s="54"/>
    </row>
    <row r="108" spans="4:5">
      <c r="D108" s="74"/>
      <c r="E108" s="54"/>
    </row>
    <row r="109" spans="4:5">
      <c r="D109" s="74"/>
      <c r="E109" s="54"/>
    </row>
    <row r="110" spans="4:5">
      <c r="D110" s="74"/>
      <c r="E110" s="54"/>
    </row>
    <row r="111" spans="4:5">
      <c r="D111" s="74"/>
      <c r="E111" s="54"/>
    </row>
    <row r="112" spans="4:5">
      <c r="D112" s="74"/>
      <c r="E112" s="54"/>
    </row>
    <row r="113" spans="1:5">
      <c r="D113" s="74"/>
      <c r="E113" s="54"/>
    </row>
    <row r="114" spans="1:5">
      <c r="D114" s="74"/>
      <c r="E114" s="54"/>
    </row>
    <row r="115" spans="1:5">
      <c r="D115" s="54"/>
      <c r="E115" s="54"/>
    </row>
    <row r="116" spans="1:5">
      <c r="D116" s="54"/>
      <c r="E116" s="54"/>
    </row>
    <row r="117" spans="1:5">
      <c r="D117" s="54"/>
      <c r="E117" s="54"/>
    </row>
    <row r="118" spans="1:5">
      <c r="D118" s="54"/>
      <c r="E118" s="54"/>
    </row>
    <row r="119" spans="1:5">
      <c r="D119" s="54"/>
      <c r="E119" s="54"/>
    </row>
    <row r="120" spans="1:5">
      <c r="D120" s="54"/>
      <c r="E120" s="54"/>
    </row>
    <row r="121" spans="1:5">
      <c r="D121" s="54"/>
      <c r="E121" s="54"/>
    </row>
    <row r="122" spans="1:5">
      <c r="D122" s="54"/>
      <c r="E122" s="54"/>
    </row>
    <row r="123" spans="1:5">
      <c r="D123" s="54"/>
      <c r="E123" s="54"/>
    </row>
    <row r="124" spans="1:5">
      <c r="D124" s="54"/>
      <c r="E124" s="54"/>
    </row>
    <row r="125" spans="1:5">
      <c r="D125" s="54"/>
      <c r="E125" s="54"/>
    </row>
    <row r="126" spans="1:5">
      <c r="A126" s="54"/>
      <c r="B126" s="58"/>
      <c r="C126" s="54"/>
      <c r="D126" s="54"/>
      <c r="E126" s="54"/>
    </row>
    <row r="127" spans="1:5">
      <c r="A127" s="54"/>
      <c r="B127" s="58"/>
      <c r="C127" s="54"/>
      <c r="D127" s="54"/>
      <c r="E127" s="54"/>
    </row>
    <row r="128" spans="1:5">
      <c r="A128" s="54"/>
      <c r="B128" s="58"/>
      <c r="C128" s="54"/>
      <c r="D128" s="54"/>
      <c r="E128" s="54"/>
    </row>
    <row r="129" spans="1:5">
      <c r="A129" s="54"/>
      <c r="B129" s="58"/>
      <c r="C129" s="54"/>
      <c r="D129" s="54"/>
      <c r="E129" s="54"/>
    </row>
    <row r="130" spans="1:5">
      <c r="A130" s="54"/>
      <c r="B130" s="58"/>
      <c r="C130" s="54"/>
      <c r="D130" s="54"/>
      <c r="E130" s="54"/>
    </row>
    <row r="131" spans="1:5">
      <c r="A131" s="54"/>
      <c r="B131" s="58"/>
      <c r="C131" s="54"/>
      <c r="D131" s="54"/>
      <c r="E131" s="54"/>
    </row>
    <row r="132" spans="1:5">
      <c r="A132" s="54"/>
      <c r="B132" s="58"/>
      <c r="C132" s="54"/>
      <c r="D132" s="54"/>
      <c r="E132" s="54"/>
    </row>
    <row r="133" spans="1:5">
      <c r="A133" s="54"/>
      <c r="B133" s="58"/>
      <c r="C133" s="54"/>
      <c r="D133" s="54"/>
      <c r="E133" s="54"/>
    </row>
    <row r="134" spans="1:5">
      <c r="A134" s="54"/>
      <c r="B134" s="58"/>
      <c r="C134" s="54"/>
      <c r="D134" s="54"/>
      <c r="E134" s="54"/>
    </row>
    <row r="135" spans="1:5">
      <c r="A135" s="54"/>
      <c r="B135" s="58"/>
      <c r="C135" s="54"/>
      <c r="D135" s="54"/>
      <c r="E135" s="54"/>
    </row>
    <row r="136" spans="1:5">
      <c r="A136" s="54"/>
      <c r="B136" s="58"/>
      <c r="C136" s="54"/>
      <c r="D136" s="54"/>
      <c r="E136" s="54"/>
    </row>
    <row r="137" spans="1:5">
      <c r="A137" s="54"/>
      <c r="B137" s="58"/>
      <c r="C137" s="54"/>
      <c r="D137" s="54"/>
      <c r="E137" s="54"/>
    </row>
    <row r="138" spans="1:5">
      <c r="A138" s="54"/>
      <c r="B138" s="58"/>
      <c r="C138" s="54"/>
      <c r="D138" s="54"/>
      <c r="E138" s="54"/>
    </row>
  </sheetData>
  <sheetProtection password="CE28" sheet="1" objects="1" scenarios="1"/>
  <mergeCells count="2">
    <mergeCell ref="A8:F8"/>
    <mergeCell ref="A10:F10"/>
  </mergeCells>
  <phoneticPr fontId="37" type="noConversion"/>
  <pageMargins left="0.59055118110236227" right="0.39370078740157483" top="0.78740157480314965" bottom="0.19685039370078741" header="0.51181102362204722" footer="0.51181102362204722"/>
  <pageSetup paperSize="9" scale="99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5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 C O N T A S </vt:lpstr>
      <vt:lpstr> P R E V I S Ã O </vt:lpstr>
      <vt:lpstr> P R E V I S Ã O  (2)</vt:lpstr>
      <vt:lpstr>Cadastro</vt:lpstr>
      <vt:lpstr>Comp. Desp-Rec</vt:lpstr>
      <vt:lpstr> G R Á F I C O</vt:lpstr>
      <vt:lpstr>Gráfico1</vt:lpstr>
      <vt:lpstr>' P R E V I S Ã O  (2)'!Area_de_impressao</vt:lpstr>
      <vt:lpstr>'Comp. Desp-Rec'!Area_de_impressao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Trindade</dc:creator>
  <cp:lastModifiedBy>José Henrique</cp:lastModifiedBy>
  <cp:lastPrinted>2021-11-23T14:22:01Z</cp:lastPrinted>
  <dcterms:created xsi:type="dcterms:W3CDTF">2004-07-07T13:01:28Z</dcterms:created>
  <dcterms:modified xsi:type="dcterms:W3CDTF">2026-06-11T18:41:17Z</dcterms:modified>
</cp:coreProperties>
</file>